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CU Primary Service\╠ Administrative Zone ╣\╠ 永續發展與社會責任處 ╣\電能相關資料\"/>
    </mc:Choice>
  </mc:AlternateContent>
  <xr:revisionPtr revIDLastSave="0" documentId="13_ncr:1_{4692E192-593B-4DD1-AE0A-272D1AE4FBE2}" xr6:coauthVersionLast="47" xr6:coauthVersionMax="47" xr10:uidLastSave="{00000000-0000-0000-0000-000000000000}"/>
  <bookViews>
    <workbookView xWindow="-28920" yWindow="-120" windowWidth="29040" windowHeight="15840" tabRatio="911" activeTab="1" xr2:uid="{00000000-000D-0000-FFFF-FFFF00000000}"/>
  </bookViews>
  <sheets>
    <sheet name="107-113各月度數費用合併" sheetId="61" r:id="rId1"/>
    <sheet name="契約容量以及電錶供電區域" sheetId="78" r:id="rId2"/>
    <sheet name="超約費計算" sheetId="79" r:id="rId3"/>
    <sheet name="工作表1" sheetId="80" r:id="rId4"/>
  </sheets>
  <definedNames>
    <definedName name="_xlnm.Print_Area" localSheetId="0">'107-113各月度數費用合併'!$A$1:$O$122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79" l="1"/>
  <c r="G144" i="61" l="1"/>
  <c r="F144" i="61"/>
  <c r="E144" i="61"/>
  <c r="R106" i="61" l="1"/>
  <c r="S112" i="61"/>
  <c r="P25" i="79" l="1"/>
  <c r="P24" i="79"/>
  <c r="P23" i="79"/>
  <c r="P22" i="79"/>
  <c r="P21" i="79"/>
  <c r="P20" i="79"/>
  <c r="P19" i="79"/>
  <c r="P18" i="79"/>
  <c r="P17" i="79"/>
  <c r="P16" i="79"/>
  <c r="P15" i="79"/>
  <c r="P14" i="79"/>
  <c r="P13" i="79"/>
  <c r="P12" i="79"/>
  <c r="P11" i="79"/>
  <c r="P10" i="79"/>
  <c r="P9" i="79"/>
  <c r="P8" i="79"/>
  <c r="P7" i="79"/>
  <c r="P6" i="79"/>
  <c r="D30" i="79" s="1"/>
  <c r="P5" i="79"/>
  <c r="D29" i="79" s="1"/>
  <c r="D31" i="79" l="1"/>
  <c r="D133" i="61" l="1"/>
  <c r="D144" i="61"/>
  <c r="N138" i="61" l="1"/>
  <c r="N139" i="61"/>
  <c r="N140" i="61"/>
  <c r="N141" i="61"/>
  <c r="N142" i="61"/>
  <c r="N143" i="61"/>
  <c r="N137" i="61"/>
  <c r="B110" i="61"/>
  <c r="N144" i="61" l="1"/>
  <c r="K144" i="61" l="1"/>
  <c r="K133" i="61"/>
  <c r="H144" i="61"/>
  <c r="I144" i="61"/>
  <c r="J144" i="61"/>
  <c r="H133" i="61"/>
  <c r="I133" i="61"/>
  <c r="M144" i="61"/>
  <c r="L144" i="61"/>
  <c r="C144" i="61"/>
  <c r="B144" i="61"/>
  <c r="M133" i="61"/>
  <c r="L133" i="61"/>
  <c r="J133" i="61"/>
  <c r="G133" i="61"/>
  <c r="F133" i="61"/>
  <c r="E133" i="61"/>
  <c r="C133" i="61"/>
  <c r="B133" i="61"/>
  <c r="N132" i="61"/>
  <c r="N131" i="61"/>
  <c r="N130" i="61"/>
  <c r="N129" i="61"/>
  <c r="N128" i="61"/>
  <c r="N127" i="61"/>
  <c r="N126" i="61"/>
  <c r="L134" i="61" l="1"/>
  <c r="N133" i="61"/>
  <c r="M110" i="61" l="1"/>
  <c r="N177" i="61" l="1"/>
  <c r="M177" i="61"/>
  <c r="L177" i="61"/>
  <c r="K177" i="61"/>
  <c r="L110" i="61"/>
  <c r="L178" i="61" l="1"/>
  <c r="N178" i="61"/>
  <c r="K110" i="61"/>
  <c r="L111" i="61" s="1"/>
  <c r="F177" i="61" l="1"/>
  <c r="E177" i="61"/>
  <c r="D177" i="61"/>
  <c r="C177" i="61"/>
  <c r="N115" i="61"/>
  <c r="N116" i="61"/>
  <c r="N117" i="61"/>
  <c r="N118" i="61"/>
  <c r="N119" i="61"/>
  <c r="N120" i="61"/>
  <c r="N114" i="61"/>
  <c r="F179" i="61" l="1"/>
  <c r="E179" i="61"/>
  <c r="J110" i="61"/>
  <c r="H110" i="61" l="1"/>
  <c r="N64" i="61" l="1"/>
  <c r="N65" i="61"/>
  <c r="N66" i="61"/>
  <c r="N67" i="61"/>
  <c r="N68" i="61"/>
  <c r="N69" i="61"/>
  <c r="N44" i="61"/>
  <c r="N45" i="61"/>
  <c r="N46" i="61"/>
  <c r="N47" i="61"/>
  <c r="N48" i="61"/>
  <c r="N49" i="61"/>
  <c r="N24" i="61"/>
  <c r="N28" i="61"/>
  <c r="N29" i="61"/>
  <c r="N104" i="61" l="1"/>
  <c r="N105" i="61"/>
  <c r="N106" i="61"/>
  <c r="N107" i="61"/>
  <c r="N108" i="61"/>
  <c r="N109" i="61"/>
  <c r="N103" i="61"/>
  <c r="G121" i="61" l="1"/>
  <c r="G110" i="61"/>
  <c r="M121" i="61" l="1"/>
  <c r="L121" i="61"/>
  <c r="K121" i="61"/>
  <c r="J121" i="61"/>
  <c r="H121" i="61"/>
  <c r="F121" i="61"/>
  <c r="E121" i="61"/>
  <c r="D121" i="61"/>
  <c r="C121" i="61"/>
  <c r="B121" i="61"/>
  <c r="F110" i="61"/>
  <c r="E110" i="61"/>
  <c r="D110" i="61"/>
  <c r="C110" i="61"/>
  <c r="N110" i="61" s="1"/>
  <c r="L122" i="61" l="1"/>
  <c r="N121" i="61"/>
  <c r="B80" i="61" l="1"/>
  <c r="M100" i="61" l="1"/>
  <c r="L100" i="61"/>
  <c r="K100" i="61"/>
  <c r="J100" i="61"/>
  <c r="I100" i="61"/>
  <c r="H100" i="61"/>
  <c r="G100" i="61"/>
  <c r="F100" i="61"/>
  <c r="E100" i="61"/>
  <c r="D100" i="61"/>
  <c r="C100" i="61"/>
  <c r="B100" i="61"/>
  <c r="N99" i="61"/>
  <c r="N98" i="61"/>
  <c r="N97" i="61"/>
  <c r="N96" i="61"/>
  <c r="N95" i="61"/>
  <c r="N94" i="61"/>
  <c r="N93" i="61"/>
  <c r="M90" i="61"/>
  <c r="L90" i="61"/>
  <c r="K90" i="61"/>
  <c r="J90" i="61"/>
  <c r="I90" i="61"/>
  <c r="H90" i="61"/>
  <c r="G90" i="61"/>
  <c r="F90" i="61"/>
  <c r="E90" i="61"/>
  <c r="D90" i="61"/>
  <c r="C90" i="61"/>
  <c r="B90" i="61"/>
  <c r="N89" i="61"/>
  <c r="N88" i="61"/>
  <c r="N87" i="61"/>
  <c r="N86" i="61"/>
  <c r="N85" i="61"/>
  <c r="N84" i="61"/>
  <c r="N83" i="61"/>
  <c r="N100" i="61" l="1"/>
  <c r="N90" i="61"/>
  <c r="M70" i="61" l="1"/>
  <c r="L70" i="61" l="1"/>
  <c r="J70" i="61" l="1"/>
  <c r="K70" i="61"/>
  <c r="H70" i="61" l="1"/>
  <c r="I70" i="61"/>
  <c r="N74" i="61" l="1"/>
  <c r="N75" i="61"/>
  <c r="N76" i="61"/>
  <c r="N77" i="61"/>
  <c r="N78" i="61"/>
  <c r="N79" i="61"/>
  <c r="N73" i="61"/>
  <c r="M80" i="61" l="1"/>
  <c r="L80" i="61"/>
  <c r="K80" i="61"/>
  <c r="J80" i="61"/>
  <c r="I80" i="61"/>
  <c r="H80" i="61"/>
  <c r="G80" i="61"/>
  <c r="F80" i="61"/>
  <c r="E80" i="61"/>
  <c r="D80" i="61"/>
  <c r="C80" i="61"/>
  <c r="G70" i="61"/>
  <c r="F70" i="61"/>
  <c r="E70" i="61"/>
  <c r="D70" i="61"/>
  <c r="C70" i="61"/>
  <c r="B70" i="61"/>
  <c r="N63" i="61"/>
  <c r="M60" i="61"/>
  <c r="L60" i="61"/>
  <c r="K60" i="61"/>
  <c r="J60" i="61"/>
  <c r="I60" i="61"/>
  <c r="H60" i="61"/>
  <c r="G60" i="61"/>
  <c r="F60" i="61"/>
  <c r="E60" i="61"/>
  <c r="D60" i="61"/>
  <c r="C60" i="61"/>
  <c r="B60" i="61"/>
  <c r="N59" i="61"/>
  <c r="N58" i="61"/>
  <c r="N57" i="61"/>
  <c r="N56" i="61"/>
  <c r="N55" i="61"/>
  <c r="N54" i="61"/>
  <c r="N53" i="61"/>
  <c r="M50" i="61"/>
  <c r="L50" i="61"/>
  <c r="K50" i="61"/>
  <c r="J50" i="61"/>
  <c r="I50" i="61"/>
  <c r="H50" i="61"/>
  <c r="G50" i="61"/>
  <c r="F50" i="61"/>
  <c r="E50" i="61"/>
  <c r="D50" i="61"/>
  <c r="C50" i="61"/>
  <c r="B50" i="61"/>
  <c r="N43" i="61"/>
  <c r="M40" i="61"/>
  <c r="L40" i="61"/>
  <c r="K40" i="61"/>
  <c r="J40" i="61"/>
  <c r="I40" i="61"/>
  <c r="H40" i="61"/>
  <c r="G40" i="61"/>
  <c r="F40" i="61"/>
  <c r="E40" i="61"/>
  <c r="D40" i="61"/>
  <c r="C40" i="61"/>
  <c r="B40" i="61"/>
  <c r="N39" i="61"/>
  <c r="N38" i="61"/>
  <c r="N37" i="61"/>
  <c r="N36" i="61"/>
  <c r="N35" i="61"/>
  <c r="N34" i="61"/>
  <c r="N33" i="61"/>
  <c r="M30" i="61"/>
  <c r="L30" i="61"/>
  <c r="K30" i="61"/>
  <c r="J30" i="61"/>
  <c r="I30" i="61"/>
  <c r="H30" i="61"/>
  <c r="G30" i="61"/>
  <c r="F30" i="61"/>
  <c r="D30" i="61"/>
  <c r="C30" i="61"/>
  <c r="B30" i="61"/>
  <c r="E27" i="61"/>
  <c r="E26" i="61"/>
  <c r="N26" i="61" s="1"/>
  <c r="E25" i="61"/>
  <c r="N25" i="61" s="1"/>
  <c r="N23" i="61"/>
  <c r="M20" i="61"/>
  <c r="L20" i="61"/>
  <c r="K20" i="61"/>
  <c r="J20" i="61"/>
  <c r="I20" i="61"/>
  <c r="H20" i="61"/>
  <c r="G20" i="61"/>
  <c r="F20" i="61"/>
  <c r="E20" i="61"/>
  <c r="D20" i="61"/>
  <c r="C20" i="61"/>
  <c r="B20" i="61"/>
  <c r="N19" i="61"/>
  <c r="N18" i="61"/>
  <c r="N17" i="61"/>
  <c r="N16" i="61"/>
  <c r="N15" i="61"/>
  <c r="N14" i="61"/>
  <c r="N13" i="61"/>
  <c r="M10" i="61"/>
  <c r="L10" i="61"/>
  <c r="K10" i="61"/>
  <c r="J10" i="61"/>
  <c r="I10" i="61"/>
  <c r="H10" i="61"/>
  <c r="G10" i="61"/>
  <c r="F10" i="61"/>
  <c r="E10" i="61"/>
  <c r="D10" i="61"/>
  <c r="C10" i="61"/>
  <c r="B10" i="61"/>
  <c r="N9" i="61"/>
  <c r="N8" i="61"/>
  <c r="N7" i="61"/>
  <c r="N6" i="61"/>
  <c r="N5" i="61"/>
  <c r="N4" i="61"/>
  <c r="N3" i="61"/>
  <c r="N27" i="61" l="1"/>
  <c r="N70" i="61"/>
  <c r="N80" i="61"/>
  <c r="E30" i="61"/>
  <c r="N20" i="61"/>
  <c r="N50" i="61"/>
  <c r="N40" i="61"/>
  <c r="N60" i="61"/>
  <c r="N10" i="61"/>
  <c r="N30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user</author>
  </authors>
  <commentList>
    <comment ref="A2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12" authorId="0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22" authorId="0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32" authorId="0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42" authorId="0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52" authorId="0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62" authorId="0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72" authorId="0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82" authorId="0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92" authorId="0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102" authorId="0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113" authorId="0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125" authorId="0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A136" authorId="0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<sst xmlns="http://schemas.openxmlformats.org/spreadsheetml/2006/main" count="407" uniqueCount="131">
  <si>
    <r>
      <rPr>
        <b/>
        <sz val="14"/>
        <color indexed="8"/>
        <rFont val="新細明體"/>
        <family val="1"/>
        <charset val="136"/>
      </rPr>
      <t>總和</t>
    </r>
    <phoneticPr fontId="2" type="noConversion"/>
  </si>
  <si>
    <r>
      <rPr>
        <b/>
        <sz val="14"/>
        <color indexed="8"/>
        <rFont val="新細明體"/>
        <family val="1"/>
        <charset val="136"/>
      </rPr>
      <t>行政區</t>
    </r>
    <phoneticPr fontId="2" type="noConversion"/>
  </si>
  <si>
    <r>
      <rPr>
        <b/>
        <sz val="14"/>
        <color indexed="8"/>
        <rFont val="新細明體"/>
        <family val="1"/>
        <charset val="136"/>
      </rPr>
      <t>商學</t>
    </r>
    <phoneticPr fontId="2" type="noConversion"/>
  </si>
  <si>
    <r>
      <rPr>
        <b/>
        <sz val="14"/>
        <color indexed="8"/>
        <rFont val="新細明體"/>
        <family val="1"/>
        <charset val="136"/>
      </rPr>
      <t>校友</t>
    </r>
    <phoneticPr fontId="2" type="noConversion"/>
  </si>
  <si>
    <r>
      <rPr>
        <b/>
        <sz val="14"/>
        <color indexed="8"/>
        <rFont val="新細明體"/>
        <family val="1"/>
        <charset val="136"/>
      </rPr>
      <t>男</t>
    </r>
    <phoneticPr fontId="2" type="noConversion"/>
  </si>
  <si>
    <r>
      <rPr>
        <b/>
        <sz val="14"/>
        <color indexed="8"/>
        <rFont val="新細明體"/>
        <family val="1"/>
        <charset val="136"/>
      </rPr>
      <t>女</t>
    </r>
    <phoneticPr fontId="2" type="noConversion"/>
  </si>
  <si>
    <r>
      <rPr>
        <b/>
        <sz val="14"/>
        <color indexed="8"/>
        <rFont val="新細明體"/>
        <family val="1"/>
        <charset val="136"/>
      </rPr>
      <t>中科</t>
    </r>
    <phoneticPr fontId="2" type="noConversion"/>
  </si>
  <si>
    <r>
      <rPr>
        <b/>
        <sz val="14"/>
        <color indexed="8"/>
        <rFont val="新細明體"/>
        <family val="1"/>
        <charset val="136"/>
      </rPr>
      <t>文創</t>
    </r>
    <phoneticPr fontId="2" type="noConversion"/>
  </si>
  <si>
    <r>
      <t>107</t>
    </r>
    <r>
      <rPr>
        <b/>
        <sz val="14"/>
        <color indexed="8"/>
        <rFont val="新細明體"/>
        <family val="1"/>
        <charset val="136"/>
      </rPr>
      <t>年</t>
    </r>
    <phoneticPr fontId="2" type="noConversion"/>
  </si>
  <si>
    <r>
      <t>108</t>
    </r>
    <r>
      <rPr>
        <b/>
        <sz val="14"/>
        <color indexed="8"/>
        <rFont val="新細明體"/>
        <family val="1"/>
        <charset val="136"/>
      </rPr>
      <t>年</t>
    </r>
    <phoneticPr fontId="2" type="noConversion"/>
  </si>
  <si>
    <r>
      <t>109</t>
    </r>
    <r>
      <rPr>
        <b/>
        <sz val="14"/>
        <color indexed="8"/>
        <rFont val="新細明體"/>
        <family val="1"/>
        <charset val="136"/>
      </rPr>
      <t>年</t>
    </r>
    <phoneticPr fontId="2" type="noConversion"/>
  </si>
  <si>
    <r>
      <t>110</t>
    </r>
    <r>
      <rPr>
        <b/>
        <sz val="14"/>
        <color indexed="8"/>
        <rFont val="新細明體"/>
        <family val="1"/>
        <charset val="136"/>
      </rPr>
      <t>年</t>
    </r>
    <phoneticPr fontId="2" type="noConversion"/>
  </si>
  <si>
    <r>
      <t>107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</si>
  <si>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r>
      <t>107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</si>
  <si>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r>
      <t>108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</si>
  <si>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r>
      <t>108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</si>
  <si>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r>
      <t>109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</si>
  <si>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r>
      <t>109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</si>
  <si>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r>
      <t>110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</si>
  <si>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t>107費用</t>
    <phoneticPr fontId="2" type="noConversion"/>
  </si>
  <si>
    <t>108費用</t>
    <phoneticPr fontId="2" type="noConversion"/>
  </si>
  <si>
    <t>109費用</t>
    <phoneticPr fontId="2" type="noConversion"/>
  </si>
  <si>
    <t>110度數</t>
    <phoneticPr fontId="2" type="noConversion"/>
  </si>
  <si>
    <r>
      <t>110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</si>
  <si>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t>110費用</t>
    <phoneticPr fontId="2" type="noConversion"/>
  </si>
  <si>
    <t>107度數</t>
    <phoneticPr fontId="2" type="noConversion"/>
  </si>
  <si>
    <t>108度數</t>
    <phoneticPr fontId="2" type="noConversion"/>
  </si>
  <si>
    <t>109度數</t>
    <phoneticPr fontId="2" type="noConversion"/>
  </si>
  <si>
    <r>
      <t>111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</si>
  <si>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t>111費用</t>
    <phoneticPr fontId="2" type="noConversion"/>
  </si>
  <si>
    <t>111度數</t>
    <phoneticPr fontId="2" type="noConversion"/>
  </si>
  <si>
    <t>112度數</t>
    <phoneticPr fontId="2" type="noConversion"/>
  </si>
  <si>
    <t>112費用</t>
    <phoneticPr fontId="2" type="noConversion"/>
  </si>
  <si>
    <r>
      <t>112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</si>
  <si>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r>
      <rPr>
        <b/>
        <sz val="16"/>
        <color indexed="8"/>
        <rFont val="新細明體"/>
        <family val="1"/>
        <charset val="136"/>
      </rPr>
      <t>總和</t>
    </r>
    <phoneticPr fontId="2" type="noConversion"/>
  </si>
  <si>
    <r>
      <t>111</t>
    </r>
    <r>
      <rPr>
        <b/>
        <sz val="14"/>
        <color rgb="FF000000"/>
        <rFont val="新細明體"/>
        <family val="1"/>
        <charset val="136"/>
      </rPr>
      <t>年</t>
    </r>
    <phoneticPr fontId="2" type="noConversion"/>
  </si>
  <si>
    <t>度數</t>
    <phoneticPr fontId="2" type="noConversion"/>
  </si>
  <si>
    <t>費用</t>
    <phoneticPr fontId="2" type="noConversion"/>
  </si>
  <si>
    <t>111年</t>
    <phoneticPr fontId="2" type="noConversion"/>
  </si>
  <si>
    <t>112年</t>
    <phoneticPr fontId="2" type="noConversion"/>
  </si>
  <si>
    <t>108年1-7月</t>
    <phoneticPr fontId="2" type="noConversion"/>
  </si>
  <si>
    <t>109年1-7月</t>
    <phoneticPr fontId="2" type="noConversion"/>
  </si>
  <si>
    <t>110年1-7月</t>
    <phoneticPr fontId="2" type="noConversion"/>
  </si>
  <si>
    <t>111年1-7月</t>
    <phoneticPr fontId="2" type="noConversion"/>
  </si>
  <si>
    <t>112年1-7月</t>
    <phoneticPr fontId="2" type="noConversion"/>
  </si>
  <si>
    <t>108年</t>
    <phoneticPr fontId="2" type="noConversion"/>
  </si>
  <si>
    <t>109年</t>
    <phoneticPr fontId="2" type="noConversion"/>
  </si>
  <si>
    <t>110年</t>
    <phoneticPr fontId="2" type="noConversion"/>
  </si>
  <si>
    <t>111年</t>
    <phoneticPr fontId="2" type="noConversion"/>
  </si>
  <si>
    <r>
      <t>112</t>
    </r>
    <r>
      <rPr>
        <b/>
        <sz val="14"/>
        <color indexed="8"/>
        <rFont val="新細明體"/>
        <family val="1"/>
        <charset val="136"/>
      </rPr>
      <t>年</t>
    </r>
    <phoneticPr fontId="2" type="noConversion"/>
  </si>
  <si>
    <t>較去年同期</t>
    <phoneticPr fontId="2" type="noConversion"/>
  </si>
  <si>
    <t>與上月比較</t>
    <phoneticPr fontId="2" type="noConversion"/>
  </si>
  <si>
    <t>減少30,029度</t>
    <phoneticPr fontId="2" type="noConversion"/>
  </si>
  <si>
    <t>減少24,707元</t>
    <phoneticPr fontId="2" type="noConversion"/>
  </si>
  <si>
    <t>度數</t>
    <phoneticPr fontId="2" type="noConversion"/>
  </si>
  <si>
    <t>費用</t>
    <phoneticPr fontId="2" type="noConversion"/>
  </si>
  <si>
    <t>113度數</t>
    <phoneticPr fontId="2" type="noConversion"/>
  </si>
  <si>
    <t>113費用</t>
    <phoneticPr fontId="2" type="noConversion"/>
  </si>
  <si>
    <r>
      <t>113</t>
    </r>
    <r>
      <rPr>
        <b/>
        <sz val="18"/>
        <color indexed="8"/>
        <rFont val="新細明體"/>
        <family val="1"/>
        <charset val="136"/>
      </rPr>
      <t>年</t>
    </r>
    <phoneticPr fontId="2" type="noConversion"/>
  </si>
  <si>
    <t>契約容量:</t>
    <phoneticPr fontId="2" type="noConversion"/>
  </si>
  <si>
    <t>電表區</t>
    <phoneticPr fontId="37" type="noConversion"/>
  </si>
  <si>
    <t>契約容量</t>
    <phoneticPr fontId="37" type="noConversion"/>
  </si>
  <si>
    <t>7763971009(行政電表區)109</t>
    <phoneticPr fontId="37" type="noConversion"/>
  </si>
  <si>
    <t>7763971009(行政電表區)110</t>
    <phoneticPr fontId="37" type="noConversion"/>
  </si>
  <si>
    <t>7763971009(行政電表區)111</t>
  </si>
  <si>
    <t>2550/2250</t>
    <phoneticPr fontId="37" type="noConversion"/>
  </si>
  <si>
    <t>11月降低契約容量為2250</t>
    <phoneticPr fontId="37" type="noConversion"/>
  </si>
  <si>
    <t>7763971009(行政電表區)112</t>
    <phoneticPr fontId="37" type="noConversion"/>
  </si>
  <si>
    <t>7763971009(行政電表區)113</t>
    <phoneticPr fontId="37" type="noConversion"/>
  </si>
  <si>
    <t>7763971054(商學電表區)109</t>
    <phoneticPr fontId="37" type="noConversion"/>
  </si>
  <si>
    <t>7763971054(商學電表區)110</t>
    <phoneticPr fontId="37" type="noConversion"/>
  </si>
  <si>
    <t>7763971054(商學電表區)111</t>
  </si>
  <si>
    <t>1100/1000</t>
    <phoneticPr fontId="37" type="noConversion"/>
  </si>
  <si>
    <t>11月降低契約容量為1000</t>
    <phoneticPr fontId="37" type="noConversion"/>
  </si>
  <si>
    <t>7763971054(商學電表區)112</t>
  </si>
  <si>
    <t>7763971054(商學電表區)113</t>
    <phoneticPr fontId="37" type="noConversion"/>
  </si>
  <si>
    <t>7763971500(校友電表區)109</t>
    <phoneticPr fontId="37" type="noConversion"/>
  </si>
  <si>
    <t>1400/1300</t>
    <phoneticPr fontId="37" type="noConversion"/>
  </si>
  <si>
    <t>7763971500(校友電表區)110</t>
    <phoneticPr fontId="37" type="noConversion"/>
  </si>
  <si>
    <t>7763971500(校友電表區)111</t>
  </si>
  <si>
    <t>7763971500(校友電表區)112</t>
  </si>
  <si>
    <t>7763971500(校友電表區)113</t>
    <phoneticPr fontId="37" type="noConversion"/>
  </si>
  <si>
    <t>7763971032(文創電表區)109</t>
    <phoneticPr fontId="37" type="noConversion"/>
  </si>
  <si>
    <t>100/50</t>
    <phoneticPr fontId="37" type="noConversion"/>
  </si>
  <si>
    <t>7763971032(文創電表區)110</t>
    <phoneticPr fontId="37" type="noConversion"/>
  </si>
  <si>
    <t>7763971032(文創電表區)111</t>
  </si>
  <si>
    <t>7763971032(文創電表區)112</t>
  </si>
  <si>
    <t>7763971032(文創電表區)113</t>
    <phoneticPr fontId="37" type="noConversion"/>
  </si>
  <si>
    <t>7761435107(女生宿舍電表區)109</t>
    <phoneticPr fontId="37" type="noConversion"/>
  </si>
  <si>
    <t>7761435107(女生宿舍電表區)110</t>
    <phoneticPr fontId="37" type="noConversion"/>
  </si>
  <si>
    <t>7761435107(女生宿舍電表區)111</t>
  </si>
  <si>
    <t>7761435107(女生宿舍電表區)112</t>
  </si>
  <si>
    <t>7761435107(女生宿舍電表區)113</t>
    <phoneticPr fontId="37" type="noConversion"/>
  </si>
  <si>
    <t>7761435005(男生宿舍電表區)109</t>
    <phoneticPr fontId="37" type="noConversion"/>
  </si>
  <si>
    <t>410/710/610</t>
    <phoneticPr fontId="37" type="noConversion"/>
  </si>
  <si>
    <t>7761435005(男生宿舍電表區)110</t>
    <phoneticPr fontId="37" type="noConversion"/>
  </si>
  <si>
    <t>7761435005(男生宿舍電表區)111</t>
  </si>
  <si>
    <t>7761435005(男生宿舍電表區)112</t>
  </si>
  <si>
    <t>7761435005(男生宿舍電表區)113</t>
    <phoneticPr fontId="37" type="noConversion"/>
  </si>
  <si>
    <t>739076101(中科校區電表區)109</t>
    <phoneticPr fontId="37" type="noConversion"/>
  </si>
  <si>
    <t>330/290</t>
    <phoneticPr fontId="37" type="noConversion"/>
  </si>
  <si>
    <t>739076101(中科校區電表區)110</t>
    <phoneticPr fontId="37" type="noConversion"/>
  </si>
  <si>
    <t>739076101(中科校區電表區)111</t>
    <phoneticPr fontId="37" type="noConversion"/>
  </si>
  <si>
    <t>739076101(中科校區電表區)112</t>
  </si>
  <si>
    <t>739076101(中科校區電表區)113</t>
    <phoneticPr fontId="37" type="noConversion"/>
  </si>
  <si>
    <t>7763971009(行政電表區)107</t>
    <phoneticPr fontId="37" type="noConversion"/>
  </si>
  <si>
    <t>7763971009(行政電表區)108</t>
    <phoneticPr fontId="37" type="noConversion"/>
  </si>
  <si>
    <t>3500/2700</t>
    <phoneticPr fontId="37" type="noConversion"/>
  </si>
  <si>
    <t>7763971054(商學電表區)107</t>
  </si>
  <si>
    <t>7763971054(商學電表區)108</t>
  </si>
  <si>
    <t>1800/1200</t>
  </si>
  <si>
    <t>7763971500(校友電表區)107</t>
  </si>
  <si>
    <t>7763971500(校友電表區)108</t>
  </si>
  <si>
    <t>7763971032(文創電表區)107</t>
  </si>
  <si>
    <t>7763971032(文創電表區)108</t>
  </si>
  <si>
    <t>7761435107(女生宿舍電表區)107</t>
  </si>
  <si>
    <t>7761435107(女生宿舍電表區)108</t>
  </si>
  <si>
    <t>620/410</t>
  </si>
  <si>
    <t>7761435005(男生宿舍電表區)107</t>
  </si>
  <si>
    <t>7761435005(男生宿舍電表區)108</t>
  </si>
  <si>
    <t>450/410</t>
  </si>
  <si>
    <t>739076101(中科校區電表區)107</t>
  </si>
  <si>
    <t>739076101(中科校區電表區)108</t>
  </si>
  <si>
    <t>逢甲大學107~113年各電表區契約容量表        單位:瓩</t>
    <phoneticPr fontId="37" type="noConversion"/>
  </si>
  <si>
    <t>111~113年度 超約費</t>
    <phoneticPr fontId="37" type="noConversion"/>
  </si>
  <si>
    <t>111年度</t>
    <phoneticPr fontId="2" type="noConversion"/>
  </si>
  <si>
    <t>112年度</t>
    <phoneticPr fontId="2" type="noConversion"/>
  </si>
  <si>
    <t>小計</t>
    <phoneticPr fontId="37" type="noConversion"/>
  </si>
  <si>
    <t>各年度超約費總計  單位:元</t>
    <phoneticPr fontId="2" type="noConversion"/>
  </si>
  <si>
    <t>113年度(1-10月)</t>
    <phoneticPr fontId="2" type="noConversion"/>
  </si>
  <si>
    <t>註: 超過契約為紅字，超過契約10%以上為紅字+紫色底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</si>
</sst>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_-* #,##0_-;\-* #,##0_-;_-* &quot;-&quot;??_-;_-@_-"/>
    <numFmt numFmtId="177" formatCode="0_);[Red]\(0\)"/>
    <numFmt numFmtId="178" formatCode="&quot;$&quot;#,##0_);[Red]\(&quot;$&quot;#,##0\)"/>
    <numFmt numFmtId="179" formatCode="_-* #,##0.000_-;\-* #,##0.000_-;_-* &quot;-&quot;??_-;_-@_-"/>
    <numFmt numFmtId="180" formatCode="0.0%"/>
    <numFmt numFmtId="181" formatCode="0.000%"/>
  </numFmts>
  <fonts count="50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b/>
      <sz val="14"/>
      <color indexed="8"/>
      <name val="新細明體"/>
      <family val="1"/>
      <charset val="136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4"/>
      <color indexed="8"/>
      <name val="細明體"/>
      <family val="3"/>
      <charset val="136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8"/>
      <color indexed="8"/>
      <name val="細明體"/>
      <family val="3"/>
      <charset val="136"/>
    </font>
    <font>
      <b/>
      <sz val="18"/>
      <color indexed="8"/>
      <name val="Times New Roman"/>
      <family val="1"/>
    </font>
    <font>
      <b/>
      <sz val="18"/>
      <color indexed="8"/>
      <name val="新細明體"/>
      <family val="1"/>
      <charset val="136"/>
    </font>
    <font>
      <sz val="18"/>
      <color indexed="8"/>
      <name val="細明體"/>
      <family val="3"/>
      <charset val="136"/>
    </font>
    <font>
      <b/>
      <sz val="16"/>
      <color rgb="FF000000"/>
      <name val="Times New Roman"/>
      <family val="1"/>
    </font>
    <font>
      <b/>
      <sz val="14"/>
      <color rgb="FF000000"/>
      <name val="新細明體"/>
      <family val="1"/>
      <charset val="136"/>
    </font>
    <font>
      <sz val="14"/>
      <color rgb="FF000000"/>
      <name val="新細明體"/>
      <family val="1"/>
      <charset val="136"/>
    </font>
    <font>
      <sz val="14"/>
      <color rgb="FF000000"/>
      <name val="Times New Roman"/>
      <family val="1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16"/>
      <name val="新細明體"/>
      <family val="1"/>
      <charset val="136"/>
    </font>
    <font>
      <b/>
      <sz val="16"/>
      <color indexed="8"/>
      <name val="Times New Roman"/>
      <family val="1"/>
    </font>
    <font>
      <b/>
      <sz val="16"/>
      <color indexed="8"/>
      <name val="新細明體"/>
      <family val="1"/>
      <charset val="136"/>
    </font>
    <font>
      <sz val="16"/>
      <color indexed="8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22"/>
      <name val="新細明體"/>
      <family val="1"/>
      <charset val="136"/>
    </font>
    <font>
      <sz val="14"/>
      <name val="新細明體"/>
      <family val="1"/>
      <charset val="136"/>
    </font>
    <font>
      <b/>
      <sz val="18"/>
      <name val="新細明體"/>
      <family val="1"/>
      <charset val="136"/>
    </font>
    <font>
      <b/>
      <sz val="24"/>
      <name val="新細明體"/>
      <family val="1"/>
      <charset val="136"/>
    </font>
    <font>
      <b/>
      <sz val="12"/>
      <color rgb="FFFA7D00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  <font>
      <b/>
      <sz val="16"/>
      <color theme="1" tint="0.14999847407452621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6"/>
      <color rgb="FFC00000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16"/>
      <color theme="1" tint="0.14999847407452621"/>
      <name val="新細明體"/>
      <family val="1"/>
      <charset val="136"/>
      <scheme val="minor"/>
    </font>
    <font>
      <b/>
      <sz val="15"/>
      <color theme="1"/>
      <name val="新細明體"/>
      <family val="1"/>
      <charset val="136"/>
      <scheme val="minor"/>
    </font>
    <font>
      <sz val="15"/>
      <name val="新細明體"/>
      <family val="1"/>
      <charset val="136"/>
    </font>
    <font>
      <sz val="15"/>
      <color theme="1"/>
      <name val="新細明體"/>
      <family val="1"/>
      <charset val="136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B381D9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EE2F7"/>
        <bgColor indexed="64"/>
      </patternFill>
    </fill>
    <fill>
      <patternFill patternType="solid">
        <fgColor rgb="FFC2F8FE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5" fillId="9" borderId="45" applyNumberFormat="0" applyAlignment="0" applyProtection="0">
      <alignment vertical="center"/>
    </xf>
  </cellStyleXfs>
  <cellXfs count="230">
    <xf numFmtId="0" fontId="0" fillId="0" borderId="0" xfId="0">
      <alignment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0" fontId="10" fillId="0" borderId="5" xfId="0" applyFont="1" applyBorder="1" applyAlignment="1">
      <alignment horizontal="center" vertical="center"/>
    </xf>
    <xf numFmtId="9" fontId="9" fillId="0" borderId="0" xfId="2" applyFont="1">
      <alignment vertical="center"/>
    </xf>
    <xf numFmtId="0" fontId="10" fillId="0" borderId="6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10" fontId="9" fillId="0" borderId="0" xfId="2" applyNumberFormat="1" applyFont="1">
      <alignment vertical="center"/>
    </xf>
    <xf numFmtId="0" fontId="7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3" fontId="9" fillId="0" borderId="0" xfId="0" applyNumberFormat="1" applyFont="1">
      <alignment vertical="center"/>
    </xf>
    <xf numFmtId="0" fontId="13" fillId="2" borderId="2" xfId="0" applyFont="1" applyFill="1" applyBorder="1" applyAlignment="1">
      <alignment horizontal="center" vertical="center"/>
    </xf>
    <xf numFmtId="3" fontId="16" fillId="0" borderId="0" xfId="0" applyNumberFormat="1" applyFont="1">
      <alignment vertical="center"/>
    </xf>
    <xf numFmtId="0" fontId="1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176" fontId="9" fillId="0" borderId="0" xfId="1" applyNumberFormat="1" applyFont="1" applyBorder="1">
      <alignment vertical="center"/>
    </xf>
    <xf numFmtId="176" fontId="7" fillId="0" borderId="0" xfId="1" applyNumberFormat="1" applyFont="1" applyBorder="1">
      <alignment vertical="center"/>
    </xf>
    <xf numFmtId="176" fontId="11" fillId="0" borderId="0" xfId="1" applyNumberFormat="1" applyFont="1" applyBorder="1">
      <alignment vertical="center"/>
    </xf>
    <xf numFmtId="3" fontId="19" fillId="0" borderId="28" xfId="0" applyNumberFormat="1" applyFont="1" applyBorder="1" applyAlignment="1"/>
    <xf numFmtId="0" fontId="19" fillId="0" borderId="28" xfId="0" applyFont="1" applyBorder="1" applyAlignment="1"/>
    <xf numFmtId="3" fontId="19" fillId="0" borderId="1" xfId="0" applyNumberFormat="1" applyFont="1" applyBorder="1" applyAlignment="1"/>
    <xf numFmtId="0" fontId="22" fillId="0" borderId="0" xfId="0" applyFont="1">
      <alignment vertical="center"/>
    </xf>
    <xf numFmtId="0" fontId="23" fillId="2" borderId="3" xfId="0" applyFont="1" applyFill="1" applyBorder="1" applyAlignment="1">
      <alignment horizontal="center" vertical="center"/>
    </xf>
    <xf numFmtId="176" fontId="25" fillId="0" borderId="1" xfId="0" applyNumberFormat="1" applyFont="1" applyBorder="1">
      <alignment vertical="center"/>
    </xf>
    <xf numFmtId="176" fontId="23" fillId="3" borderId="1" xfId="0" applyNumberFormat="1" applyFont="1" applyFill="1" applyBorder="1">
      <alignment vertical="center"/>
    </xf>
    <xf numFmtId="176" fontId="25" fillId="4" borderId="1" xfId="0" applyNumberFormat="1" applyFont="1" applyFill="1" applyBorder="1">
      <alignment vertical="center"/>
    </xf>
    <xf numFmtId="176" fontId="25" fillId="0" borderId="1" xfId="1" applyNumberFormat="1" applyFont="1" applyBorder="1">
      <alignment vertical="center"/>
    </xf>
    <xf numFmtId="176" fontId="26" fillId="0" borderId="1" xfId="1" applyNumberFormat="1" applyFont="1" applyBorder="1">
      <alignment vertical="center"/>
    </xf>
    <xf numFmtId="176" fontId="25" fillId="0" borderId="1" xfId="1" applyNumberFormat="1" applyFont="1" applyFill="1" applyBorder="1">
      <alignment vertical="center"/>
    </xf>
    <xf numFmtId="176" fontId="26" fillId="0" borderId="1" xfId="1" applyNumberFormat="1" applyFont="1" applyFill="1" applyBorder="1">
      <alignment vertical="center"/>
    </xf>
    <xf numFmtId="3" fontId="27" fillId="0" borderId="28" xfId="0" applyNumberFormat="1" applyFont="1" applyBorder="1" applyAlignment="1"/>
    <xf numFmtId="0" fontId="27" fillId="0" borderId="28" xfId="0" applyFont="1" applyBorder="1" applyAlignment="1"/>
    <xf numFmtId="176" fontId="28" fillId="0" borderId="1" xfId="1" applyNumberFormat="1" applyFont="1" applyBorder="1">
      <alignment vertical="center"/>
    </xf>
    <xf numFmtId="176" fontId="29" fillId="3" borderId="1" xfId="0" applyNumberFormat="1" applyFont="1" applyFill="1" applyBorder="1">
      <alignment vertical="center"/>
    </xf>
    <xf numFmtId="176" fontId="30" fillId="3" borderId="1" xfId="0" applyNumberFormat="1" applyFont="1" applyFill="1" applyBorder="1">
      <alignment vertical="center"/>
    </xf>
    <xf numFmtId="176" fontId="25" fillId="0" borderId="0" xfId="1" applyNumberFormat="1" applyFont="1">
      <alignment vertical="center"/>
    </xf>
    <xf numFmtId="0" fontId="27" fillId="0" borderId="0" xfId="0" applyFont="1" applyAlignment="1"/>
    <xf numFmtId="0" fontId="27" fillId="0" borderId="15" xfId="0" applyFont="1" applyBorder="1" applyAlignment="1"/>
    <xf numFmtId="3" fontId="22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0" fontId="23" fillId="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27" fillId="0" borderId="1" xfId="0" applyNumberFormat="1" applyFont="1" applyBorder="1" applyAlignment="1"/>
    <xf numFmtId="3" fontId="27" fillId="0" borderId="13" xfId="0" applyNumberFormat="1" applyFont="1" applyBorder="1" applyAlignment="1"/>
    <xf numFmtId="3" fontId="16" fillId="6" borderId="28" xfId="0" applyNumberFormat="1" applyFont="1" applyFill="1" applyBorder="1" applyAlignment="1"/>
    <xf numFmtId="0" fontId="20" fillId="7" borderId="33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/>
    </xf>
    <xf numFmtId="176" fontId="25" fillId="0" borderId="14" xfId="1" applyNumberFormat="1" applyFont="1" applyBorder="1">
      <alignment vertical="center"/>
    </xf>
    <xf numFmtId="176" fontId="23" fillId="3" borderId="14" xfId="0" applyNumberFormat="1" applyFont="1" applyFill="1" applyBorder="1">
      <alignment vertical="center"/>
    </xf>
    <xf numFmtId="0" fontId="23" fillId="2" borderId="35" xfId="0" applyFont="1" applyFill="1" applyBorder="1" applyAlignment="1">
      <alignment horizontal="center" vertical="center"/>
    </xf>
    <xf numFmtId="176" fontId="26" fillId="0" borderId="15" xfId="1" applyNumberFormat="1" applyFont="1" applyBorder="1">
      <alignment vertical="center"/>
    </xf>
    <xf numFmtId="176" fontId="23" fillId="3" borderId="15" xfId="0" applyNumberFormat="1" applyFont="1" applyFill="1" applyBorder="1">
      <alignment vertical="center"/>
    </xf>
    <xf numFmtId="0" fontId="23" fillId="2" borderId="37" xfId="0" applyFont="1" applyFill="1" applyBorder="1" applyAlignment="1">
      <alignment horizontal="center" vertical="center"/>
    </xf>
    <xf numFmtId="176" fontId="26" fillId="0" borderId="38" xfId="1" applyNumberFormat="1" applyFont="1" applyBorder="1">
      <alignment vertical="center"/>
    </xf>
    <xf numFmtId="176" fontId="23" fillId="3" borderId="39" xfId="0" applyNumberFormat="1" applyFont="1" applyFill="1" applyBorder="1">
      <alignment vertical="center"/>
    </xf>
    <xf numFmtId="0" fontId="10" fillId="0" borderId="36" xfId="0" applyFont="1" applyBorder="1" applyAlignment="1">
      <alignment horizontal="center" vertical="center"/>
    </xf>
    <xf numFmtId="176" fontId="23" fillId="0" borderId="36" xfId="0" applyNumberFormat="1" applyFont="1" applyBorder="1">
      <alignment vertical="center"/>
    </xf>
    <xf numFmtId="3" fontId="16" fillId="0" borderId="0" xfId="0" applyNumberFormat="1" applyFont="1" applyAlignment="1"/>
    <xf numFmtId="176" fontId="9" fillId="0" borderId="0" xfId="1" applyNumberFormat="1" applyFont="1" applyFill="1" applyBorder="1">
      <alignment vertical="center"/>
    </xf>
    <xf numFmtId="176" fontId="11" fillId="0" borderId="0" xfId="1" applyNumberFormat="1" applyFont="1" applyFill="1" applyBorder="1">
      <alignment vertical="center"/>
    </xf>
    <xf numFmtId="0" fontId="13" fillId="2" borderId="11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176" fontId="20" fillId="7" borderId="32" xfId="0" applyNumberFormat="1" applyFont="1" applyFill="1" applyBorder="1" applyAlignment="1">
      <alignment horizontal="center" vertical="center"/>
    </xf>
    <xf numFmtId="176" fontId="23" fillId="3" borderId="42" xfId="0" applyNumberFormat="1" applyFont="1" applyFill="1" applyBorder="1">
      <alignment vertical="center"/>
    </xf>
    <xf numFmtId="176" fontId="23" fillId="3" borderId="43" xfId="0" applyNumberFormat="1" applyFont="1" applyFill="1" applyBorder="1">
      <alignment vertical="center"/>
    </xf>
    <xf numFmtId="176" fontId="22" fillId="0" borderId="16" xfId="0" applyNumberFormat="1" applyFont="1" applyBorder="1">
      <alignment vertical="center"/>
    </xf>
    <xf numFmtId="176" fontId="22" fillId="0" borderId="18" xfId="0" applyNumberFormat="1" applyFont="1" applyBorder="1">
      <alignment vertical="center"/>
    </xf>
    <xf numFmtId="176" fontId="23" fillId="0" borderId="18" xfId="0" applyNumberFormat="1" applyFont="1" applyBorder="1">
      <alignment vertical="center"/>
    </xf>
    <xf numFmtId="0" fontId="38" fillId="9" borderId="46" xfId="3" applyFont="1" applyBorder="1" applyAlignment="1">
      <alignment horizontal="center" vertical="center"/>
    </xf>
    <xf numFmtId="0" fontId="38" fillId="9" borderId="47" xfId="3" applyFont="1" applyBorder="1" applyAlignment="1">
      <alignment horizontal="center" vertical="center"/>
    </xf>
    <xf numFmtId="0" fontId="38" fillId="9" borderId="48" xfId="3" applyFont="1" applyBorder="1" applyAlignment="1">
      <alignment horizontal="center" vertical="center"/>
    </xf>
    <xf numFmtId="0" fontId="38" fillId="9" borderId="49" xfId="3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21" fillId="0" borderId="0" xfId="0" applyFont="1">
      <alignment vertical="center"/>
    </xf>
    <xf numFmtId="3" fontId="27" fillId="0" borderId="0" xfId="0" applyNumberFormat="1" applyFont="1" applyAlignment="1"/>
    <xf numFmtId="3" fontId="27" fillId="0" borderId="15" xfId="0" applyNumberFormat="1" applyFont="1" applyBorder="1" applyAlignment="1"/>
    <xf numFmtId="0" fontId="32" fillId="0" borderId="0" xfId="0" applyFont="1">
      <alignment vertical="center"/>
    </xf>
    <xf numFmtId="0" fontId="40" fillId="11" borderId="1" xfId="0" applyFont="1" applyFill="1" applyBorder="1" applyAlignment="1">
      <alignment horizontal="center" vertical="center"/>
    </xf>
    <xf numFmtId="0" fontId="22" fillId="11" borderId="1" xfId="0" applyFont="1" applyFill="1" applyBorder="1">
      <alignment vertical="center"/>
    </xf>
    <xf numFmtId="0" fontId="41" fillId="11" borderId="1" xfId="0" applyFont="1" applyFill="1" applyBorder="1">
      <alignment vertical="center"/>
    </xf>
    <xf numFmtId="0" fontId="41" fillId="12" borderId="1" xfId="0" applyFont="1" applyFill="1" applyBorder="1">
      <alignment vertical="center"/>
    </xf>
    <xf numFmtId="177" fontId="40" fillId="11" borderId="1" xfId="0" applyNumberFormat="1" applyFont="1" applyFill="1" applyBorder="1" applyAlignment="1">
      <alignment horizontal="center" vertical="center"/>
    </xf>
    <xf numFmtId="0" fontId="42" fillId="11" borderId="1" xfId="0" applyFont="1" applyFill="1" applyBorder="1">
      <alignment vertical="center"/>
    </xf>
    <xf numFmtId="0" fontId="42" fillId="11" borderId="20" xfId="0" applyFont="1" applyFill="1" applyBorder="1">
      <alignment vertical="center"/>
    </xf>
    <xf numFmtId="0" fontId="43" fillId="11" borderId="1" xfId="0" applyFont="1" applyFill="1" applyBorder="1" applyAlignment="1">
      <alignment horizontal="center" vertical="center"/>
    </xf>
    <xf numFmtId="0" fontId="44" fillId="11" borderId="1" xfId="0" applyFont="1" applyFill="1" applyBorder="1">
      <alignment vertical="center"/>
    </xf>
    <xf numFmtId="0" fontId="44" fillId="12" borderId="1" xfId="0" applyFont="1" applyFill="1" applyBorder="1">
      <alignment vertical="center"/>
    </xf>
    <xf numFmtId="0" fontId="40" fillId="13" borderId="1" xfId="0" applyFont="1" applyFill="1" applyBorder="1" applyAlignment="1">
      <alignment horizontal="center" vertical="center"/>
    </xf>
    <xf numFmtId="0" fontId="42" fillId="13" borderId="1" xfId="0" applyFont="1" applyFill="1" applyBorder="1">
      <alignment vertical="center"/>
    </xf>
    <xf numFmtId="0" fontId="42" fillId="13" borderId="20" xfId="0" applyFont="1" applyFill="1" applyBorder="1">
      <alignment vertical="center"/>
    </xf>
    <xf numFmtId="0" fontId="41" fillId="13" borderId="1" xfId="0" applyFont="1" applyFill="1" applyBorder="1">
      <alignment vertical="center"/>
    </xf>
    <xf numFmtId="0" fontId="41" fillId="13" borderId="20" xfId="0" applyFont="1" applyFill="1" applyBorder="1">
      <alignment vertical="center"/>
    </xf>
    <xf numFmtId="0" fontId="40" fillId="14" borderId="1" xfId="0" applyFont="1" applyFill="1" applyBorder="1" applyAlignment="1">
      <alignment horizontal="center" vertical="center"/>
    </xf>
    <xf numFmtId="0" fontId="42" fillId="14" borderId="1" xfId="0" applyFont="1" applyFill="1" applyBorder="1">
      <alignment vertical="center"/>
    </xf>
    <xf numFmtId="0" fontId="41" fillId="14" borderId="1" xfId="0" applyFont="1" applyFill="1" applyBorder="1">
      <alignment vertical="center"/>
    </xf>
    <xf numFmtId="0" fontId="42" fillId="14" borderId="20" xfId="0" applyFont="1" applyFill="1" applyBorder="1">
      <alignment vertical="center"/>
    </xf>
    <xf numFmtId="0" fontId="44" fillId="14" borderId="1" xfId="0" applyFont="1" applyFill="1" applyBorder="1">
      <alignment vertical="center"/>
    </xf>
    <xf numFmtId="0" fontId="45" fillId="14" borderId="1" xfId="0" applyFont="1" applyFill="1" applyBorder="1">
      <alignment vertical="center"/>
    </xf>
    <xf numFmtId="0" fontId="40" fillId="16" borderId="1" xfId="0" applyFont="1" applyFill="1" applyBorder="1" applyAlignment="1">
      <alignment horizontal="center" vertical="center"/>
    </xf>
    <xf numFmtId="0" fontId="42" fillId="16" borderId="1" xfId="0" applyFont="1" applyFill="1" applyBorder="1">
      <alignment vertical="center"/>
    </xf>
    <xf numFmtId="0" fontId="42" fillId="16" borderId="20" xfId="0" applyFont="1" applyFill="1" applyBorder="1">
      <alignment vertical="center"/>
    </xf>
    <xf numFmtId="0" fontId="41" fillId="12" borderId="20" xfId="0" applyFont="1" applyFill="1" applyBorder="1">
      <alignment vertical="center"/>
    </xf>
    <xf numFmtId="0" fontId="40" fillId="17" borderId="1" xfId="0" applyFont="1" applyFill="1" applyBorder="1" applyAlignment="1">
      <alignment horizontal="center" vertical="center"/>
    </xf>
    <xf numFmtId="0" fontId="42" fillId="17" borderId="1" xfId="0" applyFont="1" applyFill="1" applyBorder="1">
      <alignment vertical="center"/>
    </xf>
    <xf numFmtId="0" fontId="42" fillId="17" borderId="20" xfId="0" applyFont="1" applyFill="1" applyBorder="1">
      <alignment vertical="center"/>
    </xf>
    <xf numFmtId="0" fontId="41" fillId="17" borderId="1" xfId="0" applyFont="1" applyFill="1" applyBorder="1">
      <alignment vertical="center"/>
    </xf>
    <xf numFmtId="0" fontId="41" fillId="17" borderId="20" xfId="0" applyFont="1" applyFill="1" applyBorder="1">
      <alignment vertical="center"/>
    </xf>
    <xf numFmtId="0" fontId="40" fillId="18" borderId="1" xfId="0" applyFont="1" applyFill="1" applyBorder="1" applyAlignment="1">
      <alignment horizontal="center" vertical="center"/>
    </xf>
    <xf numFmtId="0" fontId="42" fillId="18" borderId="1" xfId="0" applyFont="1" applyFill="1" applyBorder="1">
      <alignment vertical="center"/>
    </xf>
    <xf numFmtId="0" fontId="41" fillId="18" borderId="1" xfId="0" applyFont="1" applyFill="1" applyBorder="1">
      <alignment vertical="center"/>
    </xf>
    <xf numFmtId="0" fontId="41" fillId="18" borderId="20" xfId="0" applyFont="1" applyFill="1" applyBorder="1">
      <alignment vertical="center"/>
    </xf>
    <xf numFmtId="0" fontId="43" fillId="18" borderId="1" xfId="0" applyFont="1" applyFill="1" applyBorder="1" applyAlignment="1">
      <alignment horizontal="center" vertical="center"/>
    </xf>
    <xf numFmtId="0" fontId="44" fillId="18" borderId="1" xfId="0" applyFont="1" applyFill="1" applyBorder="1">
      <alignment vertical="center"/>
    </xf>
    <xf numFmtId="0" fontId="46" fillId="18" borderId="1" xfId="0" applyFont="1" applyFill="1" applyBorder="1">
      <alignment vertical="center"/>
    </xf>
    <xf numFmtId="0" fontId="44" fillId="18" borderId="20" xfId="0" applyFont="1" applyFill="1" applyBorder="1">
      <alignment vertical="center"/>
    </xf>
    <xf numFmtId="0" fontId="40" fillId="20" borderId="1" xfId="0" applyFont="1" applyFill="1" applyBorder="1" applyAlignment="1">
      <alignment horizontal="center" vertical="center"/>
    </xf>
    <xf numFmtId="0" fontId="42" fillId="20" borderId="1" xfId="0" applyFont="1" applyFill="1" applyBorder="1">
      <alignment vertical="center"/>
    </xf>
    <xf numFmtId="0" fontId="42" fillId="20" borderId="20" xfId="0" applyFont="1" applyFill="1" applyBorder="1">
      <alignment vertical="center"/>
    </xf>
    <xf numFmtId="0" fontId="44" fillId="20" borderId="1" xfId="0" applyFont="1" applyFill="1" applyBorder="1">
      <alignment vertical="center"/>
    </xf>
    <xf numFmtId="0" fontId="42" fillId="21" borderId="1" xfId="0" applyFont="1" applyFill="1" applyBorder="1">
      <alignment vertical="center"/>
    </xf>
    <xf numFmtId="0" fontId="40" fillId="20" borderId="12" xfId="0" applyFont="1" applyFill="1" applyBorder="1" applyAlignment="1">
      <alignment horizontal="center" vertical="center"/>
    </xf>
    <xf numFmtId="0" fontId="42" fillId="21" borderId="12" xfId="0" applyFont="1" applyFill="1" applyBorder="1">
      <alignment vertical="center"/>
    </xf>
    <xf numFmtId="0" fontId="42" fillId="20" borderId="12" xfId="0" applyFont="1" applyFill="1" applyBorder="1">
      <alignment vertical="center"/>
    </xf>
    <xf numFmtId="0" fontId="41" fillId="12" borderId="12" xfId="0" applyFont="1" applyFill="1" applyBorder="1">
      <alignment vertical="center"/>
    </xf>
    <xf numFmtId="0" fontId="41" fillId="22" borderId="12" xfId="0" applyFont="1" applyFill="1" applyBorder="1">
      <alignment vertical="center"/>
    </xf>
    <xf numFmtId="0" fontId="42" fillId="21" borderId="50" xfId="0" applyFont="1" applyFill="1" applyBorder="1">
      <alignment vertical="center"/>
    </xf>
    <xf numFmtId="0" fontId="41" fillId="22" borderId="1" xfId="0" applyFont="1" applyFill="1" applyBorder="1">
      <alignment vertical="center"/>
    </xf>
    <xf numFmtId="0" fontId="42" fillId="21" borderId="20" xfId="0" applyFont="1" applyFill="1" applyBorder="1">
      <alignment vertical="center"/>
    </xf>
    <xf numFmtId="0" fontId="40" fillId="20" borderId="26" xfId="0" applyFont="1" applyFill="1" applyBorder="1" applyAlignment="1">
      <alignment horizontal="center" vertical="center"/>
    </xf>
    <xf numFmtId="0" fontId="42" fillId="21" borderId="26" xfId="0" applyFont="1" applyFill="1" applyBorder="1">
      <alignment vertical="center"/>
    </xf>
    <xf numFmtId="0" fontId="42" fillId="21" borderId="27" xfId="0" applyFont="1" applyFill="1" applyBorder="1">
      <alignment vertical="center"/>
    </xf>
    <xf numFmtId="0" fontId="45" fillId="18" borderId="1" xfId="0" applyFont="1" applyFill="1" applyBorder="1">
      <alignment vertical="center"/>
    </xf>
    <xf numFmtId="0" fontId="45" fillId="18" borderId="20" xfId="0" applyFont="1" applyFill="1" applyBorder="1">
      <alignment vertical="center"/>
    </xf>
    <xf numFmtId="0" fontId="47" fillId="9" borderId="46" xfId="3" applyFont="1" applyBorder="1">
      <alignment vertical="center"/>
    </xf>
    <xf numFmtId="0" fontId="48" fillId="10" borderId="51" xfId="0" applyFont="1" applyFill="1" applyBorder="1">
      <alignment vertical="center"/>
    </xf>
    <xf numFmtId="0" fontId="49" fillId="10" borderId="44" xfId="0" applyFont="1" applyFill="1" applyBorder="1">
      <alignment vertical="center"/>
    </xf>
    <xf numFmtId="0" fontId="49" fillId="8" borderId="44" xfId="0" applyFont="1" applyFill="1" applyBorder="1">
      <alignment vertical="center"/>
    </xf>
    <xf numFmtId="0" fontId="49" fillId="14" borderId="44" xfId="0" applyFont="1" applyFill="1" applyBorder="1">
      <alignment vertical="center"/>
    </xf>
    <xf numFmtId="0" fontId="49" fillId="15" borderId="44" xfId="0" applyFont="1" applyFill="1" applyBorder="1">
      <alignment vertical="center"/>
    </xf>
    <xf numFmtId="0" fontId="49" fillId="17" borderId="44" xfId="0" applyFont="1" applyFill="1" applyBorder="1">
      <alignment vertical="center"/>
    </xf>
    <xf numFmtId="0" fontId="49" fillId="18" borderId="44" xfId="0" applyFont="1" applyFill="1" applyBorder="1">
      <alignment vertical="center"/>
    </xf>
    <xf numFmtId="0" fontId="49" fillId="19" borderId="44" xfId="0" applyFont="1" applyFill="1" applyBorder="1">
      <alignment vertical="center"/>
    </xf>
    <xf numFmtId="0" fontId="49" fillId="19" borderId="29" xfId="0" applyFont="1" applyFill="1" applyBorder="1">
      <alignment vertical="center"/>
    </xf>
    <xf numFmtId="0" fontId="49" fillId="19" borderId="19" xfId="0" applyFont="1" applyFill="1" applyBorder="1">
      <alignment vertical="center"/>
    </xf>
    <xf numFmtId="0" fontId="49" fillId="19" borderId="25" xfId="0" applyFont="1" applyFill="1" applyBorder="1">
      <alignment vertical="center"/>
    </xf>
    <xf numFmtId="0" fontId="33" fillId="0" borderId="12" xfId="0" applyFont="1" applyBorder="1" applyAlignment="1">
      <alignment horizontal="center" vertical="center"/>
    </xf>
    <xf numFmtId="0" fontId="49" fillId="10" borderId="30" xfId="0" applyFont="1" applyFill="1" applyBorder="1">
      <alignment vertical="center"/>
    </xf>
    <xf numFmtId="0" fontId="43" fillId="11" borderId="23" xfId="0" applyFont="1" applyFill="1" applyBorder="1" applyAlignment="1">
      <alignment horizontal="center" vertical="center"/>
    </xf>
    <xf numFmtId="0" fontId="42" fillId="11" borderId="23" xfId="0" applyFont="1" applyFill="1" applyBorder="1">
      <alignment vertical="center"/>
    </xf>
    <xf numFmtId="0" fontId="41" fillId="11" borderId="23" xfId="0" applyFont="1" applyFill="1" applyBorder="1">
      <alignment vertical="center"/>
    </xf>
    <xf numFmtId="0" fontId="42" fillId="20" borderId="26" xfId="0" applyFont="1" applyFill="1" applyBorder="1">
      <alignment vertical="center"/>
    </xf>
    <xf numFmtId="1" fontId="44" fillId="12" borderId="1" xfId="0" applyNumberFormat="1" applyFont="1" applyFill="1" applyBorder="1">
      <alignment vertical="center"/>
    </xf>
    <xf numFmtId="1" fontId="41" fillId="17" borderId="1" xfId="0" applyNumberFormat="1" applyFont="1" applyFill="1" applyBorder="1">
      <alignment vertical="center"/>
    </xf>
    <xf numFmtId="1" fontId="41" fillId="22" borderId="12" xfId="0" applyNumberFormat="1" applyFont="1" applyFill="1" applyBorder="1">
      <alignment vertical="center"/>
    </xf>
    <xf numFmtId="1" fontId="44" fillId="18" borderId="1" xfId="0" applyNumberFormat="1" applyFont="1" applyFill="1" applyBorder="1">
      <alignment vertical="center"/>
    </xf>
    <xf numFmtId="1" fontId="41" fillId="12" borderId="1" xfId="0" applyNumberFormat="1" applyFont="1" applyFill="1" applyBorder="1">
      <alignment vertical="center"/>
    </xf>
    <xf numFmtId="1" fontId="44" fillId="11" borderId="1" xfId="0" applyNumberFormat="1" applyFont="1" applyFill="1" applyBorder="1">
      <alignment vertical="center"/>
    </xf>
    <xf numFmtId="1" fontId="41" fillId="14" borderId="1" xfId="0" applyNumberFormat="1" applyFont="1" applyFill="1" applyBorder="1">
      <alignment vertical="center"/>
    </xf>
    <xf numFmtId="1" fontId="41" fillId="12" borderId="12" xfId="0" applyNumberFormat="1" applyFont="1" applyFill="1" applyBorder="1">
      <alignment vertical="center"/>
    </xf>
    <xf numFmtId="1" fontId="41" fillId="13" borderId="1" xfId="0" applyNumberFormat="1" applyFont="1" applyFill="1" applyBorder="1">
      <alignment vertical="center"/>
    </xf>
    <xf numFmtId="1" fontId="41" fillId="22" borderId="1" xfId="0" applyNumberFormat="1" applyFont="1" applyFill="1" applyBorder="1">
      <alignment vertical="center"/>
    </xf>
    <xf numFmtId="1" fontId="41" fillId="18" borderId="1" xfId="0" applyNumberFormat="1" applyFont="1" applyFill="1" applyBorder="1">
      <alignment vertical="center"/>
    </xf>
    <xf numFmtId="1" fontId="41" fillId="11" borderId="1" xfId="0" applyNumberFormat="1" applyFont="1" applyFill="1" applyBorder="1">
      <alignment vertical="center"/>
    </xf>
    <xf numFmtId="1" fontId="41" fillId="12" borderId="26" xfId="0" applyNumberFormat="1" applyFont="1" applyFill="1" applyBorder="1">
      <alignment vertical="center"/>
    </xf>
    <xf numFmtId="0" fontId="20" fillId="0" borderId="0" xfId="0" applyFont="1">
      <alignment vertical="center"/>
    </xf>
    <xf numFmtId="0" fontId="20" fillId="0" borderId="19" xfId="0" applyFont="1" applyBorder="1">
      <alignment vertical="center"/>
    </xf>
    <xf numFmtId="178" fontId="20" fillId="0" borderId="20" xfId="0" applyNumberFormat="1" applyFont="1" applyBorder="1">
      <alignment vertical="center"/>
    </xf>
    <xf numFmtId="0" fontId="20" fillId="0" borderId="25" xfId="0" applyFont="1" applyBorder="1">
      <alignment vertical="center"/>
    </xf>
    <xf numFmtId="178" fontId="20" fillId="0" borderId="27" xfId="0" applyNumberFormat="1" applyFont="1" applyBorder="1">
      <alignment vertical="center"/>
    </xf>
    <xf numFmtId="0" fontId="33" fillId="0" borderId="52" xfId="0" applyFont="1" applyBorder="1" applyAlignment="1">
      <alignment horizontal="center" vertical="center"/>
    </xf>
    <xf numFmtId="0" fontId="42" fillId="11" borderId="53" xfId="0" applyFont="1" applyFill="1" applyBorder="1">
      <alignment vertical="center"/>
    </xf>
    <xf numFmtId="0" fontId="42" fillId="11" borderId="14" xfId="0" applyFont="1" applyFill="1" applyBorder="1">
      <alignment vertical="center"/>
    </xf>
    <xf numFmtId="0" fontId="42" fillId="13" borderId="14" xfId="0" applyFont="1" applyFill="1" applyBorder="1">
      <alignment vertical="center"/>
    </xf>
    <xf numFmtId="1" fontId="41" fillId="13" borderId="14" xfId="0" applyNumberFormat="1" applyFont="1" applyFill="1" applyBorder="1">
      <alignment vertical="center"/>
    </xf>
    <xf numFmtId="0" fontId="41" fillId="13" borderId="14" xfId="0" applyFont="1" applyFill="1" applyBorder="1">
      <alignment vertical="center"/>
    </xf>
    <xf numFmtId="0" fontId="42" fillId="14" borderId="14" xfId="0" applyFont="1" applyFill="1" applyBorder="1">
      <alignment vertical="center"/>
    </xf>
    <xf numFmtId="0" fontId="42" fillId="16" borderId="14" xfId="0" applyFont="1" applyFill="1" applyBorder="1">
      <alignment vertical="center"/>
    </xf>
    <xf numFmtId="1" fontId="41" fillId="12" borderId="14" xfId="0" applyNumberFormat="1" applyFont="1" applyFill="1" applyBorder="1">
      <alignment vertical="center"/>
    </xf>
    <xf numFmtId="0" fontId="41" fillId="17" borderId="14" xfId="0" applyFont="1" applyFill="1" applyBorder="1">
      <alignment vertical="center"/>
    </xf>
    <xf numFmtId="0" fontId="44" fillId="18" borderId="14" xfId="0" applyFont="1" applyFill="1" applyBorder="1">
      <alignment vertical="center"/>
    </xf>
    <xf numFmtId="1" fontId="44" fillId="18" borderId="14" xfId="0" applyNumberFormat="1" applyFont="1" applyFill="1" applyBorder="1">
      <alignment vertical="center"/>
    </xf>
    <xf numFmtId="0" fontId="42" fillId="20" borderId="52" xfId="0" applyFont="1" applyFill="1" applyBorder="1">
      <alignment vertical="center"/>
    </xf>
    <xf numFmtId="0" fontId="42" fillId="21" borderId="54" xfId="0" applyFont="1" applyFill="1" applyBorder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178" fontId="32" fillId="0" borderId="1" xfId="0" applyNumberFormat="1" applyFont="1" applyBorder="1">
      <alignment vertical="center"/>
    </xf>
    <xf numFmtId="178" fontId="32" fillId="5" borderId="1" xfId="0" applyNumberFormat="1" applyFont="1" applyFill="1" applyBorder="1">
      <alignment vertical="center"/>
    </xf>
    <xf numFmtId="178" fontId="32" fillId="7" borderId="1" xfId="0" applyNumberFormat="1" applyFont="1" applyFill="1" applyBorder="1">
      <alignment vertical="center"/>
    </xf>
    <xf numFmtId="179" fontId="9" fillId="0" borderId="0" xfId="1" applyNumberFormat="1" applyFont="1" applyBorder="1">
      <alignment vertical="center"/>
    </xf>
    <xf numFmtId="180" fontId="9" fillId="0" borderId="0" xfId="2" applyNumberFormat="1" applyFont="1" applyBorder="1">
      <alignment vertical="center"/>
    </xf>
    <xf numFmtId="10" fontId="9" fillId="0" borderId="0" xfId="2" applyNumberFormat="1" applyFont="1" applyBorder="1">
      <alignment vertical="center"/>
    </xf>
    <xf numFmtId="181" fontId="9" fillId="0" borderId="0" xfId="2" applyNumberFormat="1" applyFont="1" applyBorder="1">
      <alignment vertical="center"/>
    </xf>
    <xf numFmtId="0" fontId="41" fillId="21" borderId="26" xfId="0" applyFont="1" applyFill="1" applyBorder="1">
      <alignment vertical="center"/>
    </xf>
    <xf numFmtId="3" fontId="16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7" borderId="31" xfId="0" applyFont="1" applyFill="1" applyBorder="1" applyAlignment="1">
      <alignment horizontal="center" vertical="center"/>
    </xf>
    <xf numFmtId="0" fontId="20" fillId="7" borderId="32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計算方式" xfId="3" builtinId="22"/>
  </cellStyles>
  <dxfs count="0"/>
  <tableStyles count="0" defaultTableStyle="TableStyleMedium9" defaultPivotStyle="PivotStyleLight16"/>
  <colors>
    <mruColors>
      <color rgb="FF6699FF"/>
      <color rgb="FF006600"/>
      <color rgb="FFFF99FF"/>
      <color rgb="FF604A7B"/>
      <color rgb="FF0066FF"/>
      <color rgb="FFB4161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'107-113各月度數費用合併'!$R$73:$V$73</c:f>
              <c:numCache>
                <c:formatCode>General</c:formatCode>
                <c:ptCount val="5"/>
              </c:numCache>
            </c:numRef>
          </c:cat>
          <c:val>
            <c:numRef>
              <c:f>'107-113各月度數費用合併'!$R$74:$V$74</c:f>
              <c:numCache>
                <c:formatCode>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524-4DA3-8544-D1B448D5F8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224879"/>
        <c:axId val="327338623"/>
      </c:barChart>
      <c:catAx>
        <c:axId val="41322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7338623"/>
        <c:crosses val="autoZero"/>
        <c:auto val="1"/>
        <c:lblAlgn val="ctr"/>
        <c:lblOffset val="100"/>
        <c:noMultiLvlLbl val="0"/>
      </c:catAx>
      <c:valAx>
        <c:axId val="32733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322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/>
              <a:t>108</a:t>
            </a:r>
            <a:r>
              <a:rPr lang="zh-TW" altLang="en-US" sz="1800" b="1"/>
              <a:t>至</a:t>
            </a:r>
            <a:r>
              <a:rPr lang="en-US" altLang="zh-TW" sz="1800" b="1"/>
              <a:t>112</a:t>
            </a:r>
            <a:r>
              <a:rPr lang="zh-TW" altLang="en-US" sz="1800" b="1"/>
              <a:t>上半年度用電費用比較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6600"/>
              </a:solidFill>
              <a:ln>
                <a:solidFill>
                  <a:srgbClr val="0066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5-4BF9-B84C-6414A22FB3F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E5-4BF9-B84C-6414A22FB3FF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5-4BF9-B84C-6414A22FB3FF}"/>
              </c:ext>
            </c:extLst>
          </c:dPt>
          <c:dPt>
            <c:idx val="4"/>
            <c:invertIfNegative val="0"/>
            <c:bubble3D val="0"/>
            <c:spPr>
              <a:solidFill>
                <a:srgbClr val="00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E5-4BF9-B84C-6414A22FB3FF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5-4BF9-B84C-6414A22FB3FF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AE5-4BF9-B84C-6414A22FB3FF}"/>
              </c:ext>
            </c:extLst>
          </c:dPt>
          <c:dPt>
            <c:idx val="8"/>
            <c:invertIfNegative val="0"/>
            <c:bubble3D val="0"/>
            <c:spPr>
              <a:solidFill>
                <a:srgbClr val="604A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5-4BF9-B84C-6414A22FB3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'107-113各月度數費用合併'!$B$201:$J$201</c:f>
              <c:strCache>
                <c:ptCount val="9"/>
                <c:pt idx="0">
                  <c:v>108年</c:v>
                </c:pt>
                <c:pt idx="1">
                  <c:v>109年</c:v>
                </c:pt>
                <c:pt idx="2">
                  <c:v>110年</c:v>
                </c:pt>
                <c:pt idx="3">
                  <c:v>111年</c:v>
                </c:pt>
                <c:pt idx="4">
                  <c:v>108年1-7月</c:v>
                </c:pt>
                <c:pt idx="5">
                  <c:v>109年1-7月</c:v>
                </c:pt>
                <c:pt idx="6">
                  <c:v>110年1-7月</c:v>
                </c:pt>
                <c:pt idx="7">
                  <c:v>111年1-7月</c:v>
                </c:pt>
                <c:pt idx="8">
                  <c:v>112年1-7月</c:v>
                </c:pt>
              </c:strCache>
            </c:strRef>
          </c:cat>
          <c:val>
            <c:numRef>
              <c:f>'107-113各月度數費用合併'!$B$202:$J$202</c:f>
              <c:numCache>
                <c:formatCode>#,##0</c:formatCode>
                <c:ptCount val="9"/>
                <c:pt idx="0">
                  <c:v>64005051</c:v>
                </c:pt>
                <c:pt idx="1">
                  <c:v>64413689</c:v>
                </c:pt>
                <c:pt idx="2">
                  <c:v>57327475</c:v>
                </c:pt>
                <c:pt idx="3">
                  <c:v>64968361</c:v>
                </c:pt>
                <c:pt idx="4">
                  <c:v>36144044</c:v>
                </c:pt>
                <c:pt idx="5">
                  <c:v>35017757</c:v>
                </c:pt>
                <c:pt idx="6">
                  <c:v>31726150</c:v>
                </c:pt>
                <c:pt idx="7">
                  <c:v>33379071</c:v>
                </c:pt>
                <c:pt idx="8">
                  <c:v>40743366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5-4BF9-B84C-6414A22FB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411647"/>
        <c:axId val="993774127"/>
      </c:barChart>
      <c:catAx>
        <c:axId val="51741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93774127"/>
        <c:crosses val="autoZero"/>
        <c:auto val="1"/>
        <c:lblAlgn val="ctr"/>
        <c:lblOffset val="100"/>
        <c:noMultiLvlLbl val="0"/>
      </c:catAx>
      <c:valAx>
        <c:axId val="99377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41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328612</xdr:colOff>
      <xdr:row>81</xdr:row>
      <xdr:rowOff>104775</xdr:rowOff>
    </xdr:from>
    <xdr:to>
      <xdr:col>18</xdr:col>
      <xdr:colOff>661987</xdr:colOff>
      <xdr:row>91</xdr:row>
      <xdr:rowOff>200025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F34E780-74E9-466B-98C0-B8CAC8BA2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1075764</xdr:colOff>
      <xdr:row>203</xdr:row>
      <xdr:rowOff>118781</xdr:rowOff>
    </xdr:from>
    <xdr:to>
      <xdr:col>9</xdr:col>
      <xdr:colOff>201705</xdr:colOff>
      <xdr:row>218</xdr:row>
      <xdr:rowOff>67234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ACD1FB20-039C-47DA-A2C6-D27B27E4F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1848969</xdr:colOff>
      <xdr:row>0</xdr:row>
      <xdr:rowOff>78442</xdr:rowOff>
    </xdr:from>
    <xdr:to>
      <xdr:col>10</xdr:col>
      <xdr:colOff>425824</xdr:colOff>
      <xdr:row>24</xdr:row>
      <xdr:rowOff>280148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9A88B28-FB14-41A2-B8D5-07F68820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2528" y="78442"/>
          <a:ext cx="7328649" cy="531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2"/>
  <sheetViews>
    <sheetView topLeftCell="G151" zoomScale="70" zoomScaleNormal="70" workbookViewId="0">
      <selection activeCell="M18" sqref="M18"/>
    </sheetView>
  </sheetViews>
  <sheetFormatPr defaultRowHeight="21" x14ac:dyDescent="0.25"/>
  <cols>
    <col min="1" max="1" width="12.25" customWidth="1"/>
    <col min="2" max="5" width="18.75" style="26" bestFit="1" customWidth="1"/>
    <col min="6" max="6" width="18.5" style="26" customWidth="1"/>
    <col min="7" max="7" width="14.875" style="26" bestFit="1" customWidth="1"/>
    <col min="8" max="8" width="17.875" style="26" customWidth="1"/>
    <col min="9" max="9" width="17.125" style="26" customWidth="1"/>
    <col min="10" max="10" width="16.875" style="26" customWidth="1"/>
    <col min="11" max="11" width="18.75" style="26" customWidth="1"/>
    <col min="12" max="12" width="16.375" style="26" customWidth="1"/>
    <col min="13" max="13" width="17.25" style="26" customWidth="1"/>
    <col min="14" max="14" width="17.625" style="26" customWidth="1"/>
    <col min="15" max="15" width="21.5" customWidth="1"/>
    <col min="16" max="16" width="16.25" customWidth="1"/>
    <col min="17" max="17" width="13.875" bestFit="1" customWidth="1"/>
    <col min="18" max="18" width="23.875" customWidth="1"/>
    <col min="19" max="19" width="22.625" customWidth="1"/>
    <col min="20" max="20" width="19.75" bestFit="1" customWidth="1"/>
    <col min="21" max="21" width="14.375" bestFit="1" customWidth="1"/>
    <col min="22" max="22" width="13.875" customWidth="1"/>
    <col min="23" max="23" width="19" bestFit="1" customWidth="1"/>
  </cols>
  <sheetData>
    <row r="1" spans="1:22" s="1" customFormat="1" ht="26.25" thickBot="1" x14ac:dyDescent="0.3">
      <c r="A1" s="209" t="s">
        <v>25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</row>
    <row r="2" spans="1:22" s="1" customFormat="1" ht="26.25" thickTop="1" x14ac:dyDescent="0.25">
      <c r="A2" s="13" t="s">
        <v>12</v>
      </c>
      <c r="B2" s="27">
        <v>1</v>
      </c>
      <c r="C2" s="27">
        <v>2</v>
      </c>
      <c r="D2" s="27">
        <v>3</v>
      </c>
      <c r="E2" s="27">
        <v>4</v>
      </c>
      <c r="F2" s="27">
        <v>5</v>
      </c>
      <c r="G2" s="27">
        <v>6</v>
      </c>
      <c r="H2" s="27">
        <v>7</v>
      </c>
      <c r="I2" s="27">
        <v>8</v>
      </c>
      <c r="J2" s="27">
        <v>9</v>
      </c>
      <c r="K2" s="27">
        <v>10</v>
      </c>
      <c r="L2" s="27">
        <v>11</v>
      </c>
      <c r="M2" s="27">
        <v>12</v>
      </c>
      <c r="N2" s="27" t="s">
        <v>34</v>
      </c>
      <c r="O2" s="10" t="s">
        <v>8</v>
      </c>
    </row>
    <row r="3" spans="1:22" s="1" customFormat="1" ht="20.25" x14ac:dyDescent="0.25">
      <c r="A3" s="3" t="s">
        <v>1</v>
      </c>
      <c r="B3" s="31">
        <v>586400</v>
      </c>
      <c r="C3" s="31">
        <v>382400</v>
      </c>
      <c r="D3" s="31">
        <v>656800</v>
      </c>
      <c r="E3" s="31">
        <v>747200</v>
      </c>
      <c r="F3" s="31">
        <v>1122400</v>
      </c>
      <c r="G3" s="32">
        <v>972800</v>
      </c>
      <c r="H3" s="31">
        <v>813600</v>
      </c>
      <c r="I3" s="31">
        <v>826400</v>
      </c>
      <c r="J3" s="31">
        <v>922400</v>
      </c>
      <c r="K3" s="37">
        <v>829600</v>
      </c>
      <c r="L3" s="37">
        <v>724800</v>
      </c>
      <c r="M3" s="37">
        <v>657600</v>
      </c>
      <c r="N3" s="28">
        <f t="shared" ref="N3:N9" si="0">SUM(B3:M3)</f>
        <v>9242400</v>
      </c>
      <c r="O3" s="5" t="s">
        <v>1</v>
      </c>
      <c r="Q3" s="2"/>
    </row>
    <row r="4" spans="1:22" s="1" customFormat="1" ht="20.25" x14ac:dyDescent="0.25">
      <c r="A4" s="3" t="s">
        <v>2</v>
      </c>
      <c r="B4" s="31">
        <v>256000</v>
      </c>
      <c r="C4" s="31">
        <v>154400</v>
      </c>
      <c r="D4" s="31">
        <v>292200</v>
      </c>
      <c r="E4" s="31">
        <v>322600</v>
      </c>
      <c r="F4" s="31">
        <v>458000</v>
      </c>
      <c r="G4" s="32">
        <v>434200</v>
      </c>
      <c r="H4" s="31">
        <v>350600</v>
      </c>
      <c r="I4" s="31">
        <v>328200</v>
      </c>
      <c r="J4" s="31">
        <v>385200</v>
      </c>
      <c r="K4" s="37">
        <v>355600</v>
      </c>
      <c r="L4" s="37">
        <v>321800</v>
      </c>
      <c r="M4" s="37">
        <v>295400</v>
      </c>
      <c r="N4" s="28">
        <f t="shared" si="0"/>
        <v>3954200</v>
      </c>
      <c r="O4" s="5" t="s">
        <v>2</v>
      </c>
      <c r="Q4" s="2"/>
    </row>
    <row r="5" spans="1:22" s="1" customFormat="1" ht="20.25" x14ac:dyDescent="0.25">
      <c r="A5" s="3" t="s">
        <v>3</v>
      </c>
      <c r="B5" s="31">
        <v>333984</v>
      </c>
      <c r="C5" s="31">
        <v>220937</v>
      </c>
      <c r="D5" s="31">
        <v>389001</v>
      </c>
      <c r="E5" s="31">
        <v>424118</v>
      </c>
      <c r="F5" s="31">
        <v>596323</v>
      </c>
      <c r="G5" s="32">
        <v>554312</v>
      </c>
      <c r="H5" s="31">
        <v>569731</v>
      </c>
      <c r="I5" s="31">
        <v>566467</v>
      </c>
      <c r="J5" s="31">
        <v>505911</v>
      </c>
      <c r="K5" s="37">
        <v>459364</v>
      </c>
      <c r="L5" s="37">
        <v>388441</v>
      </c>
      <c r="M5" s="37">
        <v>347155</v>
      </c>
      <c r="N5" s="28">
        <f t="shared" si="0"/>
        <v>5355744</v>
      </c>
      <c r="O5" s="5" t="s">
        <v>3</v>
      </c>
      <c r="Q5" s="8"/>
    </row>
    <row r="6" spans="1:22" s="1" customFormat="1" ht="20.25" x14ac:dyDescent="0.25">
      <c r="A6" s="3" t="s">
        <v>4</v>
      </c>
      <c r="B6" s="31">
        <v>69920</v>
      </c>
      <c r="C6" s="31">
        <v>38800</v>
      </c>
      <c r="D6" s="31">
        <v>78880</v>
      </c>
      <c r="E6" s="31">
        <v>89360</v>
      </c>
      <c r="F6" s="31">
        <v>115600</v>
      </c>
      <c r="G6" s="32">
        <v>111200</v>
      </c>
      <c r="H6" s="31">
        <v>44400</v>
      </c>
      <c r="I6" s="31">
        <v>100900</v>
      </c>
      <c r="J6" s="31">
        <v>151600</v>
      </c>
      <c r="K6" s="37">
        <v>143800</v>
      </c>
      <c r="L6" s="37">
        <v>71520</v>
      </c>
      <c r="M6" s="37">
        <v>66160</v>
      </c>
      <c r="N6" s="28">
        <f t="shared" si="0"/>
        <v>1082140</v>
      </c>
      <c r="O6" s="5" t="s">
        <v>4</v>
      </c>
      <c r="R6" s="4"/>
    </row>
    <row r="7" spans="1:22" s="1" customFormat="1" ht="20.25" x14ac:dyDescent="0.25">
      <c r="A7" s="3" t="s">
        <v>5</v>
      </c>
      <c r="B7" s="31">
        <v>115700</v>
      </c>
      <c r="C7" s="31">
        <v>75400</v>
      </c>
      <c r="D7" s="31">
        <v>121200</v>
      </c>
      <c r="E7" s="31">
        <v>141100</v>
      </c>
      <c r="F7" s="31">
        <v>186500</v>
      </c>
      <c r="G7" s="32">
        <v>180100</v>
      </c>
      <c r="H7" s="31">
        <v>94800</v>
      </c>
      <c r="I7" s="31">
        <v>43920</v>
      </c>
      <c r="J7" s="31">
        <v>73760</v>
      </c>
      <c r="K7" s="37">
        <v>76800</v>
      </c>
      <c r="L7" s="37">
        <v>133700</v>
      </c>
      <c r="M7" s="37">
        <v>125400</v>
      </c>
      <c r="N7" s="28">
        <f t="shared" si="0"/>
        <v>1368380</v>
      </c>
      <c r="O7" s="5" t="s">
        <v>5</v>
      </c>
    </row>
    <row r="8" spans="1:22" s="1" customFormat="1" ht="20.25" x14ac:dyDescent="0.25">
      <c r="A8" s="3" t="s">
        <v>6</v>
      </c>
      <c r="B8" s="31">
        <v>40720</v>
      </c>
      <c r="C8" s="31">
        <v>31360</v>
      </c>
      <c r="D8" s="31">
        <v>47200</v>
      </c>
      <c r="E8" s="31">
        <v>49520</v>
      </c>
      <c r="F8" s="31">
        <v>64480</v>
      </c>
      <c r="G8" s="32">
        <v>58880</v>
      </c>
      <c r="H8" s="31">
        <v>71600</v>
      </c>
      <c r="I8" s="31">
        <v>71520</v>
      </c>
      <c r="J8" s="31">
        <v>68000</v>
      </c>
      <c r="K8" s="37">
        <v>63600</v>
      </c>
      <c r="L8" s="37">
        <v>59040</v>
      </c>
      <c r="M8" s="37">
        <v>53520</v>
      </c>
      <c r="N8" s="28">
        <f t="shared" si="0"/>
        <v>679440</v>
      </c>
      <c r="O8" s="5" t="s">
        <v>6</v>
      </c>
    </row>
    <row r="9" spans="1:22" s="1" customFormat="1" ht="20.25" x14ac:dyDescent="0.25">
      <c r="A9" s="3" t="s">
        <v>7</v>
      </c>
      <c r="B9" s="31">
        <v>13520</v>
      </c>
      <c r="C9" s="31">
        <v>10800</v>
      </c>
      <c r="D9" s="31">
        <v>13680</v>
      </c>
      <c r="E9" s="31">
        <v>13280</v>
      </c>
      <c r="F9" s="31">
        <v>18000</v>
      </c>
      <c r="G9" s="32">
        <v>17040</v>
      </c>
      <c r="H9" s="31">
        <v>17680</v>
      </c>
      <c r="I9" s="33">
        <v>15760</v>
      </c>
      <c r="J9" s="31">
        <v>15920</v>
      </c>
      <c r="K9" s="37">
        <v>16000</v>
      </c>
      <c r="L9" s="37">
        <v>13440</v>
      </c>
      <c r="M9" s="37">
        <v>12320</v>
      </c>
      <c r="N9" s="28">
        <f t="shared" si="0"/>
        <v>177440</v>
      </c>
      <c r="O9" s="5" t="s">
        <v>7</v>
      </c>
    </row>
    <row r="10" spans="1:22" s="1" customFormat="1" ht="20.25" x14ac:dyDescent="0.25">
      <c r="A10" s="6" t="s">
        <v>0</v>
      </c>
      <c r="B10" s="29">
        <f t="shared" ref="B10:N10" si="1">SUM(B3:B9)</f>
        <v>1416244</v>
      </c>
      <c r="C10" s="29">
        <f t="shared" si="1"/>
        <v>914097</v>
      </c>
      <c r="D10" s="29">
        <f t="shared" si="1"/>
        <v>1598961</v>
      </c>
      <c r="E10" s="29">
        <f t="shared" si="1"/>
        <v>1787178</v>
      </c>
      <c r="F10" s="29">
        <f t="shared" si="1"/>
        <v>2561303</v>
      </c>
      <c r="G10" s="29">
        <f t="shared" si="1"/>
        <v>2328532</v>
      </c>
      <c r="H10" s="29">
        <f t="shared" si="1"/>
        <v>1962411</v>
      </c>
      <c r="I10" s="29">
        <f t="shared" si="1"/>
        <v>1953167</v>
      </c>
      <c r="J10" s="29">
        <f t="shared" si="1"/>
        <v>2122791</v>
      </c>
      <c r="K10" s="38">
        <f t="shared" si="1"/>
        <v>1944764</v>
      </c>
      <c r="L10" s="38">
        <f t="shared" si="1"/>
        <v>1712741</v>
      </c>
      <c r="M10" s="38">
        <f t="shared" si="1"/>
        <v>1557555</v>
      </c>
      <c r="N10" s="29">
        <f t="shared" si="1"/>
        <v>21859744</v>
      </c>
      <c r="O10" s="7" t="s">
        <v>0</v>
      </c>
      <c r="S10" s="9"/>
      <c r="T10" s="9"/>
      <c r="U10" s="9"/>
    </row>
    <row r="11" spans="1:22" s="1" customFormat="1" ht="26.25" thickBot="1" x14ac:dyDescent="0.3">
      <c r="A11" s="210" t="s">
        <v>19</v>
      </c>
      <c r="B11" s="210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S11" s="14"/>
      <c r="T11" s="14"/>
      <c r="U11" s="14"/>
    </row>
    <row r="12" spans="1:22" s="1" customFormat="1" ht="26.25" thickTop="1" x14ac:dyDescent="0.25">
      <c r="A12" s="13" t="s">
        <v>13</v>
      </c>
      <c r="B12" s="27">
        <v>1</v>
      </c>
      <c r="C12" s="27">
        <v>2</v>
      </c>
      <c r="D12" s="27">
        <v>3</v>
      </c>
      <c r="E12" s="27">
        <v>4</v>
      </c>
      <c r="F12" s="27">
        <v>5</v>
      </c>
      <c r="G12" s="27">
        <v>6</v>
      </c>
      <c r="H12" s="27">
        <v>7</v>
      </c>
      <c r="I12" s="27">
        <v>8</v>
      </c>
      <c r="J12" s="27">
        <v>9</v>
      </c>
      <c r="K12" s="27">
        <v>10</v>
      </c>
      <c r="L12" s="27">
        <v>11</v>
      </c>
      <c r="M12" s="27">
        <v>12</v>
      </c>
      <c r="N12" s="27" t="s">
        <v>34</v>
      </c>
      <c r="O12" s="10" t="s">
        <v>8</v>
      </c>
      <c r="Q12" s="11"/>
      <c r="S12" s="14"/>
      <c r="T12" s="14"/>
      <c r="U12" s="14"/>
    </row>
    <row r="13" spans="1:22" s="1" customFormat="1" ht="20.25" x14ac:dyDescent="0.25">
      <c r="A13" s="3" t="s">
        <v>1</v>
      </c>
      <c r="B13" s="31">
        <v>1738398</v>
      </c>
      <c r="C13" s="31">
        <v>1245265</v>
      </c>
      <c r="D13" s="31">
        <v>1905885</v>
      </c>
      <c r="E13" s="31">
        <v>2128517</v>
      </c>
      <c r="F13" s="31">
        <v>3080336</v>
      </c>
      <c r="G13" s="32">
        <v>3488290</v>
      </c>
      <c r="H13" s="31">
        <v>2991430</v>
      </c>
      <c r="I13" s="31">
        <v>3057650</v>
      </c>
      <c r="J13" s="31">
        <v>3300335</v>
      </c>
      <c r="K13" s="32">
        <v>2373609</v>
      </c>
      <c r="L13" s="32">
        <v>2133751</v>
      </c>
      <c r="M13" s="32">
        <v>1930388</v>
      </c>
      <c r="N13" s="28">
        <f t="shared" ref="N13:N19" si="2">SUM(B13:M13)</f>
        <v>29373854</v>
      </c>
      <c r="O13" s="5" t="s">
        <v>1</v>
      </c>
      <c r="Q13" s="12"/>
      <c r="S13" s="9"/>
      <c r="T13" s="9"/>
      <c r="U13" s="9"/>
    </row>
    <row r="14" spans="1:22" s="1" customFormat="1" ht="20.25" x14ac:dyDescent="0.25">
      <c r="A14" s="3" t="s">
        <v>2</v>
      </c>
      <c r="B14" s="31">
        <v>823688</v>
      </c>
      <c r="C14" s="31">
        <v>573833</v>
      </c>
      <c r="D14" s="31">
        <v>898080</v>
      </c>
      <c r="E14" s="31">
        <v>971665</v>
      </c>
      <c r="F14" s="31">
        <v>1302712</v>
      </c>
      <c r="G14" s="32">
        <v>1583572</v>
      </c>
      <c r="H14" s="31">
        <v>1376357</v>
      </c>
      <c r="I14" s="31">
        <v>1358646</v>
      </c>
      <c r="J14" s="31">
        <v>1479608</v>
      </c>
      <c r="K14" s="32">
        <v>1089136</v>
      </c>
      <c r="L14" s="32">
        <v>1010470</v>
      </c>
      <c r="M14" s="32">
        <v>932265</v>
      </c>
      <c r="N14" s="28">
        <f t="shared" si="2"/>
        <v>13400032</v>
      </c>
      <c r="O14" s="5" t="s">
        <v>2</v>
      </c>
      <c r="Q14" s="12"/>
      <c r="S14" s="12"/>
      <c r="T14" s="12"/>
      <c r="U14" s="12"/>
    </row>
    <row r="15" spans="1:22" s="1" customFormat="1" ht="20.25" x14ac:dyDescent="0.25">
      <c r="A15" s="3" t="s">
        <v>3</v>
      </c>
      <c r="B15" s="31">
        <v>903000</v>
      </c>
      <c r="C15" s="31">
        <v>636632</v>
      </c>
      <c r="D15" s="31">
        <v>1013011</v>
      </c>
      <c r="E15" s="31">
        <v>1103363</v>
      </c>
      <c r="F15" s="31">
        <v>1547849</v>
      </c>
      <c r="G15" s="32">
        <v>1763328</v>
      </c>
      <c r="H15" s="31">
        <v>1891737</v>
      </c>
      <c r="I15" s="31">
        <v>1894530</v>
      </c>
      <c r="J15" s="31">
        <v>1662765</v>
      </c>
      <c r="K15" s="32">
        <v>1212716</v>
      </c>
      <c r="L15" s="32">
        <v>1057894</v>
      </c>
      <c r="M15" s="32">
        <v>951399</v>
      </c>
      <c r="N15" s="28">
        <f t="shared" si="2"/>
        <v>15638224</v>
      </c>
      <c r="O15" s="5" t="s">
        <v>3</v>
      </c>
      <c r="S15" s="12"/>
      <c r="T15" s="12"/>
      <c r="U15" s="12"/>
      <c r="V15" s="12"/>
    </row>
    <row r="16" spans="1:22" s="1" customFormat="1" ht="20.25" x14ac:dyDescent="0.25">
      <c r="A16" s="3" t="s">
        <v>4</v>
      </c>
      <c r="B16" s="31">
        <v>208665</v>
      </c>
      <c r="C16" s="31">
        <v>141777</v>
      </c>
      <c r="D16" s="31">
        <v>226165</v>
      </c>
      <c r="E16" s="31">
        <v>245870</v>
      </c>
      <c r="F16" s="31">
        <v>301587</v>
      </c>
      <c r="G16" s="32">
        <v>353049</v>
      </c>
      <c r="H16" s="31">
        <v>198415</v>
      </c>
      <c r="I16" s="31">
        <v>386640</v>
      </c>
      <c r="J16" s="31">
        <v>472216</v>
      </c>
      <c r="K16" s="32">
        <v>382536</v>
      </c>
      <c r="L16" s="32">
        <v>218171</v>
      </c>
      <c r="M16" s="32">
        <v>204445</v>
      </c>
      <c r="N16" s="28">
        <f t="shared" si="2"/>
        <v>3339536</v>
      </c>
      <c r="O16" s="5" t="s">
        <v>4</v>
      </c>
      <c r="V16" s="12"/>
    </row>
    <row r="17" spans="1:17" s="1" customFormat="1" ht="19.899999999999999" customHeight="1" x14ac:dyDescent="0.25">
      <c r="A17" s="3" t="s">
        <v>5</v>
      </c>
      <c r="B17" s="31">
        <v>321958</v>
      </c>
      <c r="C17" s="31">
        <v>231331</v>
      </c>
      <c r="D17" s="31">
        <v>333389</v>
      </c>
      <c r="E17" s="31">
        <v>369664</v>
      </c>
      <c r="F17" s="31">
        <v>466957</v>
      </c>
      <c r="G17" s="32">
        <v>546865</v>
      </c>
      <c r="H17" s="31">
        <v>356144</v>
      </c>
      <c r="I17" s="31">
        <v>202076</v>
      </c>
      <c r="J17" s="31">
        <v>262171</v>
      </c>
      <c r="K17" s="32">
        <v>226657</v>
      </c>
      <c r="L17" s="32">
        <v>369099</v>
      </c>
      <c r="M17" s="32">
        <v>347061</v>
      </c>
      <c r="N17" s="28">
        <f t="shared" si="2"/>
        <v>4033372</v>
      </c>
      <c r="O17" s="5" t="s">
        <v>5</v>
      </c>
    </row>
    <row r="18" spans="1:17" s="1" customFormat="1" ht="20.25" x14ac:dyDescent="0.25">
      <c r="A18" s="3" t="s">
        <v>6</v>
      </c>
      <c r="B18" s="31">
        <v>145394</v>
      </c>
      <c r="C18" s="31">
        <v>115537</v>
      </c>
      <c r="D18" s="31">
        <v>159015</v>
      </c>
      <c r="E18" s="31">
        <v>163777</v>
      </c>
      <c r="F18" s="31">
        <v>207077</v>
      </c>
      <c r="G18" s="32">
        <v>221942</v>
      </c>
      <c r="H18" s="31">
        <v>249044</v>
      </c>
      <c r="I18" s="31">
        <v>262071</v>
      </c>
      <c r="J18" s="31">
        <v>235970</v>
      </c>
      <c r="K18" s="32">
        <v>201685</v>
      </c>
      <c r="L18" s="32">
        <v>194509</v>
      </c>
      <c r="M18" s="32">
        <v>176921</v>
      </c>
      <c r="N18" s="28">
        <f t="shared" si="2"/>
        <v>2332942</v>
      </c>
      <c r="O18" s="5" t="s">
        <v>6</v>
      </c>
    </row>
    <row r="19" spans="1:17" s="1" customFormat="1" ht="20.25" x14ac:dyDescent="0.25">
      <c r="A19" s="3" t="s">
        <v>7</v>
      </c>
      <c r="B19" s="31">
        <v>41511</v>
      </c>
      <c r="C19" s="31">
        <v>34376</v>
      </c>
      <c r="D19" s="31">
        <v>41958</v>
      </c>
      <c r="E19" s="31">
        <v>41612</v>
      </c>
      <c r="F19" s="31">
        <v>52451</v>
      </c>
      <c r="G19" s="32">
        <v>62711</v>
      </c>
      <c r="H19" s="31">
        <v>66885</v>
      </c>
      <c r="I19" s="33">
        <v>59709</v>
      </c>
      <c r="J19" s="31">
        <v>59137</v>
      </c>
      <c r="K19" s="32">
        <v>47610</v>
      </c>
      <c r="L19" s="32">
        <v>43608</v>
      </c>
      <c r="M19" s="32">
        <v>40133</v>
      </c>
      <c r="N19" s="28">
        <f t="shared" si="2"/>
        <v>591701</v>
      </c>
      <c r="O19" s="5" t="s">
        <v>7</v>
      </c>
    </row>
    <row r="20" spans="1:17" s="1" customFormat="1" ht="20.25" x14ac:dyDescent="0.25">
      <c r="A20" s="6" t="s">
        <v>0</v>
      </c>
      <c r="B20" s="29">
        <f t="shared" ref="B20:N20" si="3">SUM(B13:B19)</f>
        <v>4182614</v>
      </c>
      <c r="C20" s="29">
        <f t="shared" si="3"/>
        <v>2978751</v>
      </c>
      <c r="D20" s="29">
        <f t="shared" si="3"/>
        <v>4577503</v>
      </c>
      <c r="E20" s="29">
        <f t="shared" si="3"/>
        <v>5024468</v>
      </c>
      <c r="F20" s="29">
        <f t="shared" si="3"/>
        <v>6958969</v>
      </c>
      <c r="G20" s="29">
        <f t="shared" si="3"/>
        <v>8019757</v>
      </c>
      <c r="H20" s="29">
        <f t="shared" si="3"/>
        <v>7130012</v>
      </c>
      <c r="I20" s="29">
        <f t="shared" si="3"/>
        <v>7221322</v>
      </c>
      <c r="J20" s="29">
        <f t="shared" si="3"/>
        <v>7472202</v>
      </c>
      <c r="K20" s="29">
        <f t="shared" si="3"/>
        <v>5533949</v>
      </c>
      <c r="L20" s="29">
        <f t="shared" si="3"/>
        <v>5027502</v>
      </c>
      <c r="M20" s="29">
        <f t="shared" si="3"/>
        <v>4582612</v>
      </c>
      <c r="N20" s="29">
        <f t="shared" si="3"/>
        <v>68709661</v>
      </c>
      <c r="O20" s="7" t="s">
        <v>0</v>
      </c>
    </row>
    <row r="21" spans="1:17" s="1" customFormat="1" ht="19.5" customHeight="1" thickBot="1" x14ac:dyDescent="0.3">
      <c r="A21" s="211" t="s">
        <v>26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12"/>
    </row>
    <row r="22" spans="1:17" s="1" customFormat="1" ht="26.25" thickTop="1" x14ac:dyDescent="0.25">
      <c r="A22" s="13" t="s">
        <v>14</v>
      </c>
      <c r="B22" s="27">
        <v>1</v>
      </c>
      <c r="C22" s="27">
        <v>2</v>
      </c>
      <c r="D22" s="27">
        <v>3</v>
      </c>
      <c r="E22" s="27">
        <v>4</v>
      </c>
      <c r="F22" s="27">
        <v>5</v>
      </c>
      <c r="G22" s="27">
        <v>6</v>
      </c>
      <c r="H22" s="27">
        <v>7</v>
      </c>
      <c r="I22" s="27">
        <v>8</v>
      </c>
      <c r="J22" s="27">
        <v>9</v>
      </c>
      <c r="K22" s="27">
        <v>10</v>
      </c>
      <c r="L22" s="27">
        <v>11</v>
      </c>
      <c r="M22" s="27">
        <v>12</v>
      </c>
      <c r="N22" s="27" t="s">
        <v>34</v>
      </c>
      <c r="O22" s="10" t="s">
        <v>9</v>
      </c>
    </row>
    <row r="23" spans="1:17" s="1" customFormat="1" ht="20.25" x14ac:dyDescent="0.25">
      <c r="A23" s="3" t="s">
        <v>1</v>
      </c>
      <c r="B23" s="31">
        <v>511200</v>
      </c>
      <c r="C23" s="31">
        <v>448000</v>
      </c>
      <c r="D23" s="31">
        <v>640000</v>
      </c>
      <c r="E23" s="31">
        <v>756000</v>
      </c>
      <c r="F23" s="31">
        <v>900000</v>
      </c>
      <c r="G23" s="32">
        <v>776000</v>
      </c>
      <c r="H23" s="31">
        <v>776000</v>
      </c>
      <c r="I23" s="31">
        <v>758400</v>
      </c>
      <c r="J23" s="31">
        <v>862400</v>
      </c>
      <c r="K23" s="32">
        <v>836800</v>
      </c>
      <c r="L23" s="32">
        <v>682400</v>
      </c>
      <c r="M23" s="32">
        <v>623200</v>
      </c>
      <c r="N23" s="28">
        <f t="shared" ref="N23:N29" si="4">SUM(B23:M23)</f>
        <v>8570400</v>
      </c>
      <c r="O23" s="5" t="s">
        <v>1</v>
      </c>
    </row>
    <row r="24" spans="1:17" s="1" customFormat="1" ht="20.25" x14ac:dyDescent="0.25">
      <c r="A24" s="3" t="s">
        <v>2</v>
      </c>
      <c r="B24" s="31">
        <v>231800</v>
      </c>
      <c r="C24" s="31">
        <v>199400</v>
      </c>
      <c r="D24" s="31">
        <v>284000</v>
      </c>
      <c r="E24" s="31">
        <v>317400</v>
      </c>
      <c r="F24" s="31">
        <v>357600</v>
      </c>
      <c r="G24" s="32">
        <v>344000</v>
      </c>
      <c r="H24" s="31">
        <v>337400</v>
      </c>
      <c r="I24" s="31">
        <v>306400</v>
      </c>
      <c r="J24" s="31">
        <v>353600</v>
      </c>
      <c r="K24" s="32">
        <v>343000</v>
      </c>
      <c r="L24" s="32">
        <v>297200</v>
      </c>
      <c r="M24" s="32">
        <v>275400</v>
      </c>
      <c r="N24" s="28">
        <f t="shared" si="4"/>
        <v>3647200</v>
      </c>
      <c r="O24" s="5" t="s">
        <v>2</v>
      </c>
    </row>
    <row r="25" spans="1:17" s="1" customFormat="1" ht="20.25" x14ac:dyDescent="0.25">
      <c r="A25" s="3" t="s">
        <v>3</v>
      </c>
      <c r="B25" s="31">
        <v>300058</v>
      </c>
      <c r="C25" s="31">
        <v>254452</v>
      </c>
      <c r="D25" s="31">
        <v>359548</v>
      </c>
      <c r="E25" s="31">
        <f>236519+34960+137226</f>
        <v>408705</v>
      </c>
      <c r="F25" s="31">
        <v>481067</v>
      </c>
      <c r="G25" s="32">
        <v>459564</v>
      </c>
      <c r="H25" s="31">
        <v>501291</v>
      </c>
      <c r="I25" s="31">
        <v>482017</v>
      </c>
      <c r="J25" s="31">
        <v>460655</v>
      </c>
      <c r="K25" s="32">
        <v>429545</v>
      </c>
      <c r="L25" s="32">
        <v>344109</v>
      </c>
      <c r="M25" s="32">
        <v>330828</v>
      </c>
      <c r="N25" s="28">
        <f t="shared" si="4"/>
        <v>4811839</v>
      </c>
      <c r="O25" s="5" t="s">
        <v>3</v>
      </c>
    </row>
    <row r="26" spans="1:17" s="1" customFormat="1" ht="20.25" x14ac:dyDescent="0.25">
      <c r="A26" s="3" t="s">
        <v>4</v>
      </c>
      <c r="B26" s="31">
        <v>50080</v>
      </c>
      <c r="C26" s="31">
        <v>47680</v>
      </c>
      <c r="D26" s="31">
        <v>62800</v>
      </c>
      <c r="E26" s="31">
        <f>31440+5200+34160</f>
        <v>70800</v>
      </c>
      <c r="F26" s="31">
        <v>76800</v>
      </c>
      <c r="G26" s="32">
        <v>66400</v>
      </c>
      <c r="H26" s="31">
        <v>26080</v>
      </c>
      <c r="I26" s="31">
        <v>34560</v>
      </c>
      <c r="J26" s="31">
        <v>91520</v>
      </c>
      <c r="K26" s="32">
        <v>95760</v>
      </c>
      <c r="L26" s="32">
        <v>94720</v>
      </c>
      <c r="M26" s="32">
        <v>92720</v>
      </c>
      <c r="N26" s="28">
        <f t="shared" si="4"/>
        <v>809920</v>
      </c>
      <c r="O26" s="5" t="s">
        <v>4</v>
      </c>
    </row>
    <row r="27" spans="1:17" s="1" customFormat="1" ht="20.25" x14ac:dyDescent="0.25">
      <c r="A27" s="3" t="s">
        <v>5</v>
      </c>
      <c r="B27" s="31">
        <v>101800</v>
      </c>
      <c r="C27" s="31">
        <v>91400</v>
      </c>
      <c r="D27" s="31">
        <v>125000</v>
      </c>
      <c r="E27" s="31">
        <f>61400+9900+67500</f>
        <v>138800</v>
      </c>
      <c r="F27" s="31">
        <v>154600</v>
      </c>
      <c r="G27" s="32">
        <v>140800</v>
      </c>
      <c r="H27" s="31">
        <v>97600</v>
      </c>
      <c r="I27" s="31">
        <v>108500</v>
      </c>
      <c r="J27" s="31">
        <v>154000</v>
      </c>
      <c r="K27" s="32">
        <v>147200</v>
      </c>
      <c r="L27" s="32">
        <v>128000</v>
      </c>
      <c r="M27" s="32">
        <v>124400</v>
      </c>
      <c r="N27" s="28">
        <f t="shared" si="4"/>
        <v>1512100</v>
      </c>
      <c r="O27" s="5" t="s">
        <v>5</v>
      </c>
    </row>
    <row r="28" spans="1:17" s="1" customFormat="1" ht="20.25" x14ac:dyDescent="0.25">
      <c r="A28" s="3" t="s">
        <v>6</v>
      </c>
      <c r="B28" s="31">
        <v>36800</v>
      </c>
      <c r="C28" s="31">
        <v>29840</v>
      </c>
      <c r="D28" s="31">
        <v>47360</v>
      </c>
      <c r="E28" s="31">
        <v>51200</v>
      </c>
      <c r="F28" s="31">
        <v>63520</v>
      </c>
      <c r="G28" s="32">
        <v>69360</v>
      </c>
      <c r="H28" s="31">
        <v>84880</v>
      </c>
      <c r="I28" s="31">
        <v>86800</v>
      </c>
      <c r="J28" s="31">
        <v>80480</v>
      </c>
      <c r="K28" s="32">
        <v>69840</v>
      </c>
      <c r="L28" s="32">
        <v>59360</v>
      </c>
      <c r="M28" s="32">
        <v>47760</v>
      </c>
      <c r="N28" s="28">
        <f t="shared" si="4"/>
        <v>727200</v>
      </c>
      <c r="O28" s="5" t="s">
        <v>6</v>
      </c>
    </row>
    <row r="29" spans="1:17" s="1" customFormat="1" ht="20.25" x14ac:dyDescent="0.25">
      <c r="A29" s="3" t="s">
        <v>7</v>
      </c>
      <c r="B29" s="31">
        <v>10960</v>
      </c>
      <c r="C29" s="31">
        <v>9360</v>
      </c>
      <c r="D29" s="31">
        <v>12320</v>
      </c>
      <c r="E29" s="31">
        <v>13040</v>
      </c>
      <c r="F29" s="31">
        <v>15040</v>
      </c>
      <c r="G29" s="32">
        <v>15840</v>
      </c>
      <c r="H29" s="31">
        <v>14400</v>
      </c>
      <c r="I29" s="33">
        <v>15200</v>
      </c>
      <c r="J29" s="31">
        <v>17440</v>
      </c>
      <c r="K29" s="32">
        <v>17200</v>
      </c>
      <c r="L29" s="32">
        <v>16000</v>
      </c>
      <c r="M29" s="32">
        <v>14300</v>
      </c>
      <c r="N29" s="28">
        <f t="shared" si="4"/>
        <v>171100</v>
      </c>
      <c r="O29" s="5" t="s">
        <v>7</v>
      </c>
    </row>
    <row r="30" spans="1:17" s="1" customFormat="1" ht="18.75" customHeight="1" x14ac:dyDescent="0.25">
      <c r="A30" s="6" t="s">
        <v>0</v>
      </c>
      <c r="B30" s="29">
        <f t="shared" ref="B30:N30" si="5">SUM(B23:B29)</f>
        <v>1242698</v>
      </c>
      <c r="C30" s="39">
        <f t="shared" si="5"/>
        <v>1080132</v>
      </c>
      <c r="D30" s="39">
        <f t="shared" si="5"/>
        <v>1531028</v>
      </c>
      <c r="E30" s="39">
        <f t="shared" si="5"/>
        <v>1755945</v>
      </c>
      <c r="F30" s="29">
        <f t="shared" si="5"/>
        <v>2048627</v>
      </c>
      <c r="G30" s="29">
        <f t="shared" si="5"/>
        <v>1871964</v>
      </c>
      <c r="H30" s="29">
        <f t="shared" si="5"/>
        <v>1837651</v>
      </c>
      <c r="I30" s="39">
        <f t="shared" si="5"/>
        <v>1791877</v>
      </c>
      <c r="J30" s="29">
        <f t="shared" si="5"/>
        <v>2020095</v>
      </c>
      <c r="K30" s="29">
        <f t="shared" si="5"/>
        <v>1939345</v>
      </c>
      <c r="L30" s="29">
        <f t="shared" si="5"/>
        <v>1621789</v>
      </c>
      <c r="M30" s="29">
        <f t="shared" si="5"/>
        <v>1508608</v>
      </c>
      <c r="N30" s="29">
        <f t="shared" si="5"/>
        <v>20249759</v>
      </c>
      <c r="O30" s="7" t="s">
        <v>0</v>
      </c>
      <c r="Q30" s="4"/>
    </row>
    <row r="31" spans="1:17" s="1" customFormat="1" ht="26.25" thickBot="1" x14ac:dyDescent="0.3">
      <c r="A31" s="208" t="s">
        <v>20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</row>
    <row r="32" spans="1:17" s="1" customFormat="1" ht="26.25" thickTop="1" x14ac:dyDescent="0.25">
      <c r="A32" s="13" t="s">
        <v>15</v>
      </c>
      <c r="B32" s="27">
        <v>1</v>
      </c>
      <c r="C32" s="27">
        <v>2</v>
      </c>
      <c r="D32" s="27">
        <v>3</v>
      </c>
      <c r="E32" s="27">
        <v>4</v>
      </c>
      <c r="F32" s="27">
        <v>5</v>
      </c>
      <c r="G32" s="27">
        <v>6</v>
      </c>
      <c r="H32" s="27">
        <v>7</v>
      </c>
      <c r="I32" s="27">
        <v>8</v>
      </c>
      <c r="J32" s="27">
        <v>9</v>
      </c>
      <c r="K32" s="27">
        <v>10</v>
      </c>
      <c r="L32" s="27">
        <v>11</v>
      </c>
      <c r="M32" s="27">
        <v>12</v>
      </c>
      <c r="N32" s="27" t="s">
        <v>34</v>
      </c>
      <c r="O32" s="10" t="s">
        <v>9</v>
      </c>
    </row>
    <row r="33" spans="1:17" s="1" customFormat="1" ht="20.25" x14ac:dyDescent="0.25">
      <c r="A33" s="3" t="s">
        <v>1</v>
      </c>
      <c r="B33" s="31">
        <v>1601021</v>
      </c>
      <c r="C33" s="31">
        <v>1418531</v>
      </c>
      <c r="D33" s="31">
        <v>1899784</v>
      </c>
      <c r="E33" s="31">
        <v>2174108</v>
      </c>
      <c r="F33" s="31">
        <v>2497010</v>
      </c>
      <c r="G33" s="32">
        <v>2770302</v>
      </c>
      <c r="H33" s="31">
        <v>2871846</v>
      </c>
      <c r="I33" s="31">
        <v>2780708</v>
      </c>
      <c r="J33" s="31">
        <v>3066683</v>
      </c>
      <c r="K33" s="32">
        <v>2271808</v>
      </c>
      <c r="L33" s="32">
        <v>1889370</v>
      </c>
      <c r="M33" s="32">
        <v>1730718</v>
      </c>
      <c r="N33" s="28">
        <f t="shared" ref="N33:N39" si="6">SUM(B33:M33)</f>
        <v>26971889</v>
      </c>
      <c r="O33" s="5" t="s">
        <v>1</v>
      </c>
    </row>
    <row r="34" spans="1:17" s="1" customFormat="1" ht="20.25" x14ac:dyDescent="0.25">
      <c r="A34" s="3" t="s">
        <v>2</v>
      </c>
      <c r="B34" s="31">
        <v>786133</v>
      </c>
      <c r="C34" s="31">
        <v>695005</v>
      </c>
      <c r="D34" s="31">
        <v>908108</v>
      </c>
      <c r="E34" s="31">
        <v>989749</v>
      </c>
      <c r="F34" s="31">
        <v>1089668</v>
      </c>
      <c r="G34" s="32">
        <v>1338494</v>
      </c>
      <c r="H34" s="31">
        <v>1384851</v>
      </c>
      <c r="I34" s="31">
        <v>1281986</v>
      </c>
      <c r="J34" s="31">
        <v>1359977</v>
      </c>
      <c r="K34" s="32">
        <v>979994</v>
      </c>
      <c r="L34" s="32">
        <v>855564</v>
      </c>
      <c r="M34" s="32">
        <v>799037</v>
      </c>
      <c r="N34" s="28">
        <f t="shared" si="6"/>
        <v>12468566</v>
      </c>
      <c r="O34" s="5" t="s">
        <v>2</v>
      </c>
    </row>
    <row r="35" spans="1:17" s="1" customFormat="1" ht="20.25" x14ac:dyDescent="0.25">
      <c r="A35" s="3" t="s">
        <v>3</v>
      </c>
      <c r="B35" s="31">
        <v>853213</v>
      </c>
      <c r="C35" s="31">
        <v>714711</v>
      </c>
      <c r="D35" s="31">
        <v>986805</v>
      </c>
      <c r="E35" s="31">
        <v>1110869</v>
      </c>
      <c r="F35" s="31">
        <v>1244462</v>
      </c>
      <c r="G35" s="32">
        <v>1508984</v>
      </c>
      <c r="H35" s="31">
        <v>1750389</v>
      </c>
      <c r="I35" s="31">
        <v>1616943</v>
      </c>
      <c r="J35" s="31">
        <v>1632543</v>
      </c>
      <c r="K35" s="32">
        <v>1175252</v>
      </c>
      <c r="L35" s="32">
        <v>982599</v>
      </c>
      <c r="M35" s="32">
        <v>942610</v>
      </c>
      <c r="N35" s="28">
        <f t="shared" si="6"/>
        <v>14519380</v>
      </c>
      <c r="O35" s="5" t="s">
        <v>3</v>
      </c>
    </row>
    <row r="36" spans="1:17" s="1" customFormat="1" ht="20.25" x14ac:dyDescent="0.25">
      <c r="A36" s="3" t="s">
        <v>4</v>
      </c>
      <c r="B36" s="31">
        <v>172501</v>
      </c>
      <c r="C36" s="31">
        <v>162302</v>
      </c>
      <c r="D36" s="31">
        <v>197200</v>
      </c>
      <c r="E36" s="31">
        <v>212464</v>
      </c>
      <c r="F36" s="31">
        <v>223636</v>
      </c>
      <c r="G36" s="32">
        <v>246789</v>
      </c>
      <c r="H36" s="31">
        <v>163674</v>
      </c>
      <c r="I36" s="31">
        <v>185164</v>
      </c>
      <c r="J36" s="31">
        <v>300910</v>
      </c>
      <c r="K36" s="32">
        <v>256594</v>
      </c>
      <c r="L36" s="32">
        <v>253695</v>
      </c>
      <c r="M36" s="32">
        <v>248920</v>
      </c>
      <c r="N36" s="28">
        <f t="shared" si="6"/>
        <v>2623849</v>
      </c>
      <c r="O36" s="5" t="s">
        <v>4</v>
      </c>
    </row>
    <row r="37" spans="1:17" s="1" customFormat="1" ht="20.25" x14ac:dyDescent="0.25">
      <c r="A37" s="3" t="s">
        <v>5</v>
      </c>
      <c r="B37" s="31">
        <v>301557</v>
      </c>
      <c r="C37" s="31">
        <v>269235</v>
      </c>
      <c r="D37" s="31">
        <v>346236</v>
      </c>
      <c r="E37" s="31">
        <v>372926</v>
      </c>
      <c r="F37" s="31">
        <v>403673</v>
      </c>
      <c r="G37" s="32">
        <v>450663</v>
      </c>
      <c r="H37" s="31">
        <v>371231</v>
      </c>
      <c r="I37" s="31">
        <v>399299</v>
      </c>
      <c r="J37" s="31">
        <v>465796</v>
      </c>
      <c r="K37" s="32">
        <v>365352</v>
      </c>
      <c r="L37" s="32">
        <v>321258</v>
      </c>
      <c r="M37" s="32">
        <v>313132</v>
      </c>
      <c r="N37" s="28">
        <f t="shared" si="6"/>
        <v>4380358</v>
      </c>
      <c r="O37" s="5" t="s">
        <v>5</v>
      </c>
    </row>
    <row r="38" spans="1:17" s="1" customFormat="1" ht="20.25" x14ac:dyDescent="0.25">
      <c r="A38" s="3" t="s">
        <v>6</v>
      </c>
      <c r="B38" s="31">
        <v>137188</v>
      </c>
      <c r="C38" s="31">
        <v>115926</v>
      </c>
      <c r="D38" s="31">
        <v>159990</v>
      </c>
      <c r="E38" s="31">
        <v>173135</v>
      </c>
      <c r="F38" s="31">
        <v>205287</v>
      </c>
      <c r="G38" s="32">
        <v>241973</v>
      </c>
      <c r="H38" s="31">
        <v>304067</v>
      </c>
      <c r="I38" s="31">
        <v>291972</v>
      </c>
      <c r="J38" s="31">
        <v>271428</v>
      </c>
      <c r="K38" s="32">
        <v>220160</v>
      </c>
      <c r="L38" s="32">
        <v>181393</v>
      </c>
      <c r="M38" s="32">
        <v>154854</v>
      </c>
      <c r="N38" s="28">
        <f t="shared" si="6"/>
        <v>2457373</v>
      </c>
      <c r="O38" s="5" t="s">
        <v>6</v>
      </c>
    </row>
    <row r="39" spans="1:17" s="1" customFormat="1" ht="20.25" x14ac:dyDescent="0.25">
      <c r="A39" s="3" t="s">
        <v>7</v>
      </c>
      <c r="B39" s="31">
        <v>37440</v>
      </c>
      <c r="C39" s="31">
        <v>32721</v>
      </c>
      <c r="D39" s="31">
        <v>40083</v>
      </c>
      <c r="E39" s="31">
        <v>42004</v>
      </c>
      <c r="F39" s="31">
        <v>46932</v>
      </c>
      <c r="G39" s="32">
        <v>61219</v>
      </c>
      <c r="H39" s="31">
        <v>57949</v>
      </c>
      <c r="I39" s="33">
        <v>58878</v>
      </c>
      <c r="J39" s="31">
        <v>64263</v>
      </c>
      <c r="K39" s="32">
        <v>50780</v>
      </c>
      <c r="L39" s="32">
        <v>47428</v>
      </c>
      <c r="M39" s="32">
        <v>43939</v>
      </c>
      <c r="N39" s="28">
        <f t="shared" si="6"/>
        <v>583636</v>
      </c>
      <c r="O39" s="5" t="s">
        <v>7</v>
      </c>
    </row>
    <row r="40" spans="1:17" s="1" customFormat="1" ht="20.25" x14ac:dyDescent="0.25">
      <c r="A40" s="6" t="s">
        <v>0</v>
      </c>
      <c r="B40" s="29">
        <f t="shared" ref="B40:N40" si="7">SUM(B33:B39)</f>
        <v>3889053</v>
      </c>
      <c r="C40" s="29">
        <f t="shared" si="7"/>
        <v>3408431</v>
      </c>
      <c r="D40" s="29">
        <f t="shared" si="7"/>
        <v>4538206</v>
      </c>
      <c r="E40" s="29">
        <f t="shared" si="7"/>
        <v>5075255</v>
      </c>
      <c r="F40" s="29">
        <f t="shared" si="7"/>
        <v>5710668</v>
      </c>
      <c r="G40" s="29">
        <f t="shared" si="7"/>
        <v>6618424</v>
      </c>
      <c r="H40" s="29">
        <f t="shared" si="7"/>
        <v>6904007</v>
      </c>
      <c r="I40" s="29">
        <f t="shared" si="7"/>
        <v>6614950</v>
      </c>
      <c r="J40" s="29">
        <f t="shared" si="7"/>
        <v>7161600</v>
      </c>
      <c r="K40" s="29">
        <f t="shared" si="7"/>
        <v>5319940</v>
      </c>
      <c r="L40" s="29">
        <f t="shared" si="7"/>
        <v>4531307</v>
      </c>
      <c r="M40" s="29">
        <f t="shared" si="7"/>
        <v>4233210</v>
      </c>
      <c r="N40" s="29">
        <f t="shared" si="7"/>
        <v>64005051</v>
      </c>
      <c r="O40" s="7" t="s">
        <v>0</v>
      </c>
      <c r="Q40" s="2"/>
    </row>
    <row r="41" spans="1:17" s="1" customFormat="1" ht="26.25" thickBot="1" x14ac:dyDescent="0.3">
      <c r="A41" s="208" t="s">
        <v>27</v>
      </c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</row>
    <row r="42" spans="1:17" s="1" customFormat="1" ht="26.25" thickTop="1" x14ac:dyDescent="0.25">
      <c r="A42" s="13" t="s">
        <v>16</v>
      </c>
      <c r="B42" s="27">
        <v>1</v>
      </c>
      <c r="C42" s="27">
        <v>2</v>
      </c>
      <c r="D42" s="27">
        <v>3</v>
      </c>
      <c r="E42" s="27">
        <v>4</v>
      </c>
      <c r="F42" s="27">
        <v>5</v>
      </c>
      <c r="G42" s="27">
        <v>6</v>
      </c>
      <c r="H42" s="27">
        <v>7</v>
      </c>
      <c r="I42" s="27">
        <v>8</v>
      </c>
      <c r="J42" s="27">
        <v>9</v>
      </c>
      <c r="K42" s="27">
        <v>10</v>
      </c>
      <c r="L42" s="27">
        <v>11</v>
      </c>
      <c r="M42" s="27">
        <v>12</v>
      </c>
      <c r="N42" s="27" t="s">
        <v>34</v>
      </c>
      <c r="O42" s="10" t="s">
        <v>10</v>
      </c>
    </row>
    <row r="43" spans="1:17" s="1" customFormat="1" ht="20.25" x14ac:dyDescent="0.25">
      <c r="A43" s="3" t="s">
        <v>1</v>
      </c>
      <c r="B43" s="31">
        <v>438400</v>
      </c>
      <c r="C43" s="31">
        <v>419200</v>
      </c>
      <c r="D43" s="31">
        <v>620800</v>
      </c>
      <c r="E43" s="31">
        <v>616000</v>
      </c>
      <c r="F43" s="31">
        <v>904800</v>
      </c>
      <c r="G43" s="32">
        <v>976800</v>
      </c>
      <c r="H43" s="31">
        <v>755200</v>
      </c>
      <c r="I43" s="31">
        <v>743200</v>
      </c>
      <c r="J43" s="31">
        <v>871200</v>
      </c>
      <c r="K43" s="32">
        <v>772800</v>
      </c>
      <c r="L43" s="32">
        <v>681600</v>
      </c>
      <c r="M43" s="32">
        <v>585600</v>
      </c>
      <c r="N43" s="28">
        <f t="shared" ref="N43:N50" si="8">SUM(B43:M43)</f>
        <v>8385600</v>
      </c>
      <c r="O43" s="5" t="s">
        <v>1</v>
      </c>
    </row>
    <row r="44" spans="1:17" s="1" customFormat="1" ht="20.25" x14ac:dyDescent="0.25">
      <c r="A44" s="3" t="s">
        <v>2</v>
      </c>
      <c r="B44" s="31">
        <v>184400</v>
      </c>
      <c r="C44" s="31">
        <v>181800</v>
      </c>
      <c r="D44" s="31">
        <v>274000</v>
      </c>
      <c r="E44" s="31">
        <v>265400</v>
      </c>
      <c r="F44" s="31">
        <v>378800</v>
      </c>
      <c r="G44" s="32">
        <v>406000</v>
      </c>
      <c r="H44" s="31">
        <v>351800</v>
      </c>
      <c r="I44" s="31">
        <v>335000</v>
      </c>
      <c r="J44" s="31">
        <v>405800</v>
      </c>
      <c r="K44" s="32">
        <v>347800</v>
      </c>
      <c r="L44" s="32">
        <v>312200</v>
      </c>
      <c r="M44" s="32">
        <v>268400</v>
      </c>
      <c r="N44" s="28">
        <f t="shared" si="8"/>
        <v>3711400</v>
      </c>
      <c r="O44" s="5" t="s">
        <v>2</v>
      </c>
    </row>
    <row r="45" spans="1:17" s="1" customFormat="1" ht="20.25" x14ac:dyDescent="0.25">
      <c r="A45" s="3" t="s">
        <v>3</v>
      </c>
      <c r="B45" s="31">
        <v>243360</v>
      </c>
      <c r="C45" s="31">
        <v>258714</v>
      </c>
      <c r="D45" s="31">
        <v>332317</v>
      </c>
      <c r="E45" s="31">
        <v>313601</v>
      </c>
      <c r="F45" s="31">
        <v>465155</v>
      </c>
      <c r="G45" s="32">
        <v>497988</v>
      </c>
      <c r="H45" s="31">
        <v>505173</v>
      </c>
      <c r="I45" s="31">
        <v>498718</v>
      </c>
      <c r="J45" s="31">
        <v>497515</v>
      </c>
      <c r="K45" s="32">
        <v>437248</v>
      </c>
      <c r="L45" s="32">
        <v>392727</v>
      </c>
      <c r="M45" s="32">
        <v>337503</v>
      </c>
      <c r="N45" s="28">
        <f t="shared" si="8"/>
        <v>4780019</v>
      </c>
      <c r="O45" s="5" t="s">
        <v>3</v>
      </c>
    </row>
    <row r="46" spans="1:17" s="1" customFormat="1" ht="20.25" x14ac:dyDescent="0.25">
      <c r="A46" s="3" t="s">
        <v>4</v>
      </c>
      <c r="B46" s="31">
        <v>59680</v>
      </c>
      <c r="C46" s="31">
        <v>48240</v>
      </c>
      <c r="D46" s="31">
        <v>95680</v>
      </c>
      <c r="E46" s="31">
        <v>91520</v>
      </c>
      <c r="F46" s="31">
        <v>113200</v>
      </c>
      <c r="G46" s="32">
        <v>123760</v>
      </c>
      <c r="H46" s="31">
        <v>69840</v>
      </c>
      <c r="I46" s="31">
        <v>88160</v>
      </c>
      <c r="J46" s="31">
        <v>189360</v>
      </c>
      <c r="K46" s="32">
        <v>188720</v>
      </c>
      <c r="L46" s="32">
        <v>192800</v>
      </c>
      <c r="M46" s="32">
        <v>194480</v>
      </c>
      <c r="N46" s="28">
        <f t="shared" si="8"/>
        <v>1455440</v>
      </c>
      <c r="O46" s="5" t="s">
        <v>4</v>
      </c>
    </row>
    <row r="47" spans="1:17" s="1" customFormat="1" ht="20.25" x14ac:dyDescent="0.25">
      <c r="A47" s="3" t="s">
        <v>5</v>
      </c>
      <c r="B47" s="31">
        <v>100200</v>
      </c>
      <c r="C47" s="31">
        <v>79600</v>
      </c>
      <c r="D47" s="31">
        <v>126300</v>
      </c>
      <c r="E47" s="31">
        <v>117300</v>
      </c>
      <c r="F47" s="31">
        <v>164800</v>
      </c>
      <c r="G47" s="32">
        <v>182800</v>
      </c>
      <c r="H47" s="31">
        <v>74500</v>
      </c>
      <c r="I47" s="31">
        <v>60800</v>
      </c>
      <c r="J47" s="31">
        <v>139000</v>
      </c>
      <c r="K47" s="32">
        <v>150000</v>
      </c>
      <c r="L47" s="32">
        <v>143600</v>
      </c>
      <c r="M47" s="32">
        <v>132600</v>
      </c>
      <c r="N47" s="28">
        <f t="shared" si="8"/>
        <v>1471500</v>
      </c>
      <c r="O47" s="5" t="s">
        <v>5</v>
      </c>
    </row>
    <row r="48" spans="1:17" s="1" customFormat="1" ht="20.25" x14ac:dyDescent="0.25">
      <c r="A48" s="3" t="s">
        <v>6</v>
      </c>
      <c r="B48" s="31">
        <v>41840</v>
      </c>
      <c r="C48" s="31">
        <v>43280</v>
      </c>
      <c r="D48" s="31">
        <v>54160</v>
      </c>
      <c r="E48" s="31">
        <v>50160</v>
      </c>
      <c r="F48" s="31">
        <v>81600</v>
      </c>
      <c r="G48" s="32">
        <v>81600</v>
      </c>
      <c r="H48" s="31">
        <v>90160</v>
      </c>
      <c r="I48" s="31">
        <v>82320</v>
      </c>
      <c r="J48" s="31">
        <v>79040</v>
      </c>
      <c r="K48" s="32">
        <v>67520</v>
      </c>
      <c r="L48" s="32">
        <v>63440</v>
      </c>
      <c r="M48" s="32">
        <v>52320</v>
      </c>
      <c r="N48" s="28">
        <f t="shared" si="8"/>
        <v>787440</v>
      </c>
      <c r="O48" s="5" t="s">
        <v>6</v>
      </c>
    </row>
    <row r="49" spans="1:22" s="1" customFormat="1" ht="20.25" x14ac:dyDescent="0.25">
      <c r="A49" s="3" t="s">
        <v>7</v>
      </c>
      <c r="B49" s="31">
        <v>12960</v>
      </c>
      <c r="C49" s="31">
        <v>12080</v>
      </c>
      <c r="D49" s="31">
        <v>13840</v>
      </c>
      <c r="E49" s="31">
        <v>13280</v>
      </c>
      <c r="F49" s="31">
        <v>16400</v>
      </c>
      <c r="G49" s="32">
        <v>15920</v>
      </c>
      <c r="H49" s="31">
        <v>15040</v>
      </c>
      <c r="I49" s="33">
        <v>16560</v>
      </c>
      <c r="J49" s="31">
        <v>15400</v>
      </c>
      <c r="K49" s="32">
        <v>13920</v>
      </c>
      <c r="L49" s="32">
        <v>14000</v>
      </c>
      <c r="M49" s="32">
        <v>12720</v>
      </c>
      <c r="N49" s="28">
        <f t="shared" si="8"/>
        <v>172120</v>
      </c>
      <c r="O49" s="5" t="s">
        <v>7</v>
      </c>
    </row>
    <row r="50" spans="1:22" s="1" customFormat="1" ht="20.25" x14ac:dyDescent="0.25">
      <c r="A50" s="6" t="s">
        <v>0</v>
      </c>
      <c r="B50" s="29">
        <f t="shared" ref="B50:M50" si="9">SUM(B43:B49)</f>
        <v>1080840</v>
      </c>
      <c r="C50" s="29">
        <f t="shared" si="9"/>
        <v>1042914</v>
      </c>
      <c r="D50" s="29">
        <f t="shared" si="9"/>
        <v>1517097</v>
      </c>
      <c r="E50" s="29">
        <f t="shared" si="9"/>
        <v>1467261</v>
      </c>
      <c r="F50" s="29">
        <f t="shared" si="9"/>
        <v>2124755</v>
      </c>
      <c r="G50" s="29">
        <f t="shared" si="9"/>
        <v>2284868</v>
      </c>
      <c r="H50" s="29">
        <f t="shared" si="9"/>
        <v>1861713</v>
      </c>
      <c r="I50" s="29">
        <f t="shared" si="9"/>
        <v>1824758</v>
      </c>
      <c r="J50" s="29">
        <f t="shared" si="9"/>
        <v>2197315</v>
      </c>
      <c r="K50" s="29">
        <f t="shared" si="9"/>
        <v>1978008</v>
      </c>
      <c r="L50" s="29">
        <f t="shared" si="9"/>
        <v>1800367</v>
      </c>
      <c r="M50" s="29">
        <f t="shared" si="9"/>
        <v>1583623</v>
      </c>
      <c r="N50" s="29">
        <f t="shared" si="8"/>
        <v>20763519</v>
      </c>
      <c r="O50" s="7" t="s">
        <v>0</v>
      </c>
    </row>
    <row r="51" spans="1:22" s="1" customFormat="1" ht="26.25" thickBot="1" x14ac:dyDescent="0.3">
      <c r="A51" s="208" t="s">
        <v>21</v>
      </c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</row>
    <row r="52" spans="1:22" s="1" customFormat="1" ht="26.25" thickTop="1" x14ac:dyDescent="0.25">
      <c r="A52" s="13" t="s">
        <v>17</v>
      </c>
      <c r="B52" s="27">
        <v>1</v>
      </c>
      <c r="C52" s="27">
        <v>2</v>
      </c>
      <c r="D52" s="27">
        <v>3</v>
      </c>
      <c r="E52" s="27">
        <v>4</v>
      </c>
      <c r="F52" s="27">
        <v>5</v>
      </c>
      <c r="G52" s="27">
        <v>6</v>
      </c>
      <c r="H52" s="27">
        <v>7</v>
      </c>
      <c r="I52" s="27">
        <v>8</v>
      </c>
      <c r="J52" s="27">
        <v>9</v>
      </c>
      <c r="K52" s="27">
        <v>10</v>
      </c>
      <c r="L52" s="27">
        <v>11</v>
      </c>
      <c r="M52" s="27">
        <v>12</v>
      </c>
      <c r="N52" s="27" t="s">
        <v>34</v>
      </c>
      <c r="O52" s="10" t="s">
        <v>10</v>
      </c>
    </row>
    <row r="53" spans="1:22" s="1" customFormat="1" ht="20.25" x14ac:dyDescent="0.25">
      <c r="A53" s="3" t="s">
        <v>1</v>
      </c>
      <c r="B53" s="31">
        <v>1264800</v>
      </c>
      <c r="C53" s="31">
        <v>1260995</v>
      </c>
      <c r="D53" s="31">
        <v>1741101</v>
      </c>
      <c r="E53" s="31">
        <v>1745180</v>
      </c>
      <c r="F53" s="31">
        <v>2418651</v>
      </c>
      <c r="G53" s="32">
        <v>3429593</v>
      </c>
      <c r="H53" s="31">
        <v>2679150</v>
      </c>
      <c r="I53" s="31">
        <v>2592901</v>
      </c>
      <c r="J53" s="31">
        <v>3240624</v>
      </c>
      <c r="K53" s="32">
        <v>2106560</v>
      </c>
      <c r="L53" s="32">
        <v>1892098</v>
      </c>
      <c r="M53" s="32">
        <v>1674404</v>
      </c>
      <c r="N53" s="28">
        <f t="shared" ref="N53:N59" si="10">SUM(B53:M53)</f>
        <v>26046057</v>
      </c>
      <c r="O53" s="5" t="s">
        <v>1</v>
      </c>
    </row>
    <row r="54" spans="1:22" s="1" customFormat="1" ht="20.25" x14ac:dyDescent="0.25">
      <c r="A54" s="3" t="s">
        <v>2</v>
      </c>
      <c r="B54" s="31">
        <v>567671</v>
      </c>
      <c r="C54" s="31">
        <v>577338</v>
      </c>
      <c r="D54" s="31">
        <v>805558</v>
      </c>
      <c r="E54" s="31">
        <v>783967</v>
      </c>
      <c r="F54" s="31">
        <v>1065830</v>
      </c>
      <c r="G54" s="32">
        <v>1525639</v>
      </c>
      <c r="H54" s="31">
        <v>1315347</v>
      </c>
      <c r="I54" s="31">
        <v>1238108</v>
      </c>
      <c r="J54" s="31">
        <v>1592060</v>
      </c>
      <c r="K54" s="32">
        <v>989626</v>
      </c>
      <c r="L54" s="32">
        <v>892060</v>
      </c>
      <c r="M54" s="32">
        <v>791502</v>
      </c>
      <c r="N54" s="28">
        <f t="shared" si="10"/>
        <v>12144706</v>
      </c>
      <c r="O54" s="5" t="s">
        <v>2</v>
      </c>
    </row>
    <row r="55" spans="1:22" s="1" customFormat="1" ht="20.25" x14ac:dyDescent="0.25">
      <c r="A55" s="3" t="s">
        <v>3</v>
      </c>
      <c r="B55" s="31">
        <v>719653</v>
      </c>
      <c r="C55" s="31">
        <v>771671</v>
      </c>
      <c r="D55" s="31">
        <v>957461</v>
      </c>
      <c r="E55" s="31">
        <v>919466</v>
      </c>
      <c r="F55" s="40">
        <v>1225917</v>
      </c>
      <c r="G55" s="32">
        <v>1660022</v>
      </c>
      <c r="H55" s="31">
        <v>1719528</v>
      </c>
      <c r="I55" s="31">
        <v>1715440</v>
      </c>
      <c r="J55" s="31">
        <v>1714795</v>
      </c>
      <c r="K55" s="32">
        <v>1163093</v>
      </c>
      <c r="L55" s="32">
        <v>1087714</v>
      </c>
      <c r="M55" s="32">
        <v>971038</v>
      </c>
      <c r="N55" s="28">
        <f t="shared" si="10"/>
        <v>14625798</v>
      </c>
      <c r="O55" s="5" t="s">
        <v>3</v>
      </c>
      <c r="Q55" s="17"/>
      <c r="R55" s="16"/>
      <c r="S55" s="16"/>
      <c r="T55" s="16"/>
      <c r="U55" s="16"/>
      <c r="V55" s="16"/>
    </row>
    <row r="56" spans="1:22" s="1" customFormat="1" ht="20.25" x14ac:dyDescent="0.25">
      <c r="A56" s="3" t="s">
        <v>4</v>
      </c>
      <c r="B56" s="31">
        <v>177962</v>
      </c>
      <c r="C56" s="31">
        <v>161048</v>
      </c>
      <c r="D56" s="31">
        <v>255546</v>
      </c>
      <c r="E56" s="31">
        <v>248357</v>
      </c>
      <c r="F56" s="31">
        <v>284311</v>
      </c>
      <c r="G56" s="32">
        <v>374203</v>
      </c>
      <c r="H56" s="31">
        <v>262306</v>
      </c>
      <c r="I56" s="31">
        <v>352926</v>
      </c>
      <c r="J56" s="31">
        <v>610504</v>
      </c>
      <c r="K56" s="32">
        <v>533427</v>
      </c>
      <c r="L56" s="32">
        <v>543801</v>
      </c>
      <c r="M56" s="32">
        <v>501343</v>
      </c>
      <c r="N56" s="28">
        <f t="shared" si="10"/>
        <v>4305734</v>
      </c>
      <c r="O56" s="5" t="s">
        <v>4</v>
      </c>
      <c r="Q56" s="17"/>
      <c r="R56" s="19"/>
      <c r="S56" s="19"/>
      <c r="T56" s="19"/>
      <c r="U56" s="19"/>
      <c r="V56" s="19"/>
    </row>
    <row r="57" spans="1:22" s="1" customFormat="1" ht="20.25" x14ac:dyDescent="0.25">
      <c r="A57" s="3" t="s">
        <v>5</v>
      </c>
      <c r="B57" s="31">
        <v>253296</v>
      </c>
      <c r="C57" s="31">
        <v>220605</v>
      </c>
      <c r="D57" s="31">
        <v>317006</v>
      </c>
      <c r="E57" s="31">
        <v>300605</v>
      </c>
      <c r="F57" s="31">
        <v>403540</v>
      </c>
      <c r="G57" s="32">
        <v>544514</v>
      </c>
      <c r="H57" s="31">
        <v>269585</v>
      </c>
      <c r="I57" s="31">
        <v>313210</v>
      </c>
      <c r="J57" s="31">
        <v>410997</v>
      </c>
      <c r="K57" s="32">
        <v>363107</v>
      </c>
      <c r="L57" s="32">
        <v>353544</v>
      </c>
      <c r="M57" s="32">
        <v>334331</v>
      </c>
      <c r="N57" s="28">
        <f t="shared" si="10"/>
        <v>4084340</v>
      </c>
      <c r="O57" s="5" t="s">
        <v>5</v>
      </c>
    </row>
    <row r="58" spans="1:22" s="1" customFormat="1" ht="20.25" x14ac:dyDescent="0.25">
      <c r="A58" s="3" t="s">
        <v>6</v>
      </c>
      <c r="B58" s="31">
        <v>135288</v>
      </c>
      <c r="C58" s="31">
        <v>143123</v>
      </c>
      <c r="D58" s="31">
        <v>171641</v>
      </c>
      <c r="E58" s="31">
        <v>162460</v>
      </c>
      <c r="F58" s="31">
        <v>244085</v>
      </c>
      <c r="G58" s="32">
        <v>278415</v>
      </c>
      <c r="H58" s="31">
        <v>322068</v>
      </c>
      <c r="I58" s="31">
        <v>285132</v>
      </c>
      <c r="J58" s="31">
        <v>297286</v>
      </c>
      <c r="K58" s="32">
        <v>206150</v>
      </c>
      <c r="L58" s="32">
        <v>198314</v>
      </c>
      <c r="M58" s="32">
        <v>173485</v>
      </c>
      <c r="N58" s="28">
        <f t="shared" si="10"/>
        <v>2617447</v>
      </c>
      <c r="O58" s="5" t="s">
        <v>6</v>
      </c>
    </row>
    <row r="59" spans="1:22" s="1" customFormat="1" ht="20.25" x14ac:dyDescent="0.25">
      <c r="A59" s="3" t="s">
        <v>7</v>
      </c>
      <c r="B59" s="31">
        <v>39774</v>
      </c>
      <c r="C59" s="31">
        <v>39139</v>
      </c>
      <c r="D59" s="31">
        <v>43179</v>
      </c>
      <c r="E59" s="31">
        <v>42408</v>
      </c>
      <c r="F59" s="31">
        <v>48621</v>
      </c>
      <c r="G59" s="32">
        <v>61257</v>
      </c>
      <c r="H59" s="31">
        <v>58877</v>
      </c>
      <c r="I59" s="33">
        <v>64150</v>
      </c>
      <c r="J59" s="31">
        <v>62488</v>
      </c>
      <c r="K59" s="32">
        <v>44119</v>
      </c>
      <c r="L59" s="32">
        <v>44096</v>
      </c>
      <c r="M59" s="32">
        <v>41499</v>
      </c>
      <c r="N59" s="28">
        <f t="shared" si="10"/>
        <v>589607</v>
      </c>
      <c r="O59" s="5" t="s">
        <v>7</v>
      </c>
    </row>
    <row r="60" spans="1:22" s="1" customFormat="1" ht="20.25" x14ac:dyDescent="0.25">
      <c r="A60" s="6" t="s">
        <v>0</v>
      </c>
      <c r="B60" s="29">
        <f t="shared" ref="B60:N60" si="11">SUM(B53:B59)</f>
        <v>3158444</v>
      </c>
      <c r="C60" s="29">
        <f t="shared" si="11"/>
        <v>3173919</v>
      </c>
      <c r="D60" s="29">
        <f t="shared" si="11"/>
        <v>4291492</v>
      </c>
      <c r="E60" s="29">
        <f t="shared" si="11"/>
        <v>4202443</v>
      </c>
      <c r="F60" s="29">
        <f t="shared" si="11"/>
        <v>5690955</v>
      </c>
      <c r="G60" s="29">
        <f t="shared" si="11"/>
        <v>7873643</v>
      </c>
      <c r="H60" s="29">
        <f t="shared" si="11"/>
        <v>6626861</v>
      </c>
      <c r="I60" s="29">
        <f t="shared" si="11"/>
        <v>6561867</v>
      </c>
      <c r="J60" s="29">
        <f t="shared" si="11"/>
        <v>7928754</v>
      </c>
      <c r="K60" s="29">
        <f t="shared" si="11"/>
        <v>5406082</v>
      </c>
      <c r="L60" s="29">
        <f t="shared" si="11"/>
        <v>5011627</v>
      </c>
      <c r="M60" s="29">
        <f t="shared" si="11"/>
        <v>4487602</v>
      </c>
      <c r="N60" s="29">
        <f t="shared" si="11"/>
        <v>64413689</v>
      </c>
      <c r="O60" s="7" t="s">
        <v>0</v>
      </c>
    </row>
    <row r="61" spans="1:22" s="1" customFormat="1" ht="26.25" thickBot="1" x14ac:dyDescent="0.3">
      <c r="A61" s="208" t="s">
        <v>22</v>
      </c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</row>
    <row r="62" spans="1:22" s="1" customFormat="1" ht="26.25" thickTop="1" x14ac:dyDescent="0.25">
      <c r="A62" s="13" t="s">
        <v>18</v>
      </c>
      <c r="B62" s="27">
        <v>1</v>
      </c>
      <c r="C62" s="27">
        <v>2</v>
      </c>
      <c r="D62" s="27">
        <v>3</v>
      </c>
      <c r="E62" s="27">
        <v>4</v>
      </c>
      <c r="F62" s="27">
        <v>5</v>
      </c>
      <c r="G62" s="27">
        <v>6</v>
      </c>
      <c r="H62" s="27">
        <v>7</v>
      </c>
      <c r="I62" s="27">
        <v>8</v>
      </c>
      <c r="J62" s="27">
        <v>9</v>
      </c>
      <c r="K62" s="27">
        <v>10</v>
      </c>
      <c r="L62" s="27">
        <v>11</v>
      </c>
      <c r="M62" s="27">
        <v>12</v>
      </c>
      <c r="N62" s="27" t="s">
        <v>34</v>
      </c>
      <c r="O62" s="10" t="s">
        <v>11</v>
      </c>
    </row>
    <row r="63" spans="1:22" s="1" customFormat="1" ht="20.25" x14ac:dyDescent="0.25">
      <c r="A63" s="3" t="s">
        <v>1</v>
      </c>
      <c r="B63" s="31">
        <v>450400</v>
      </c>
      <c r="C63" s="31">
        <v>352800</v>
      </c>
      <c r="D63" s="31">
        <v>568000</v>
      </c>
      <c r="E63" s="31">
        <v>605600</v>
      </c>
      <c r="F63" s="31">
        <v>716800</v>
      </c>
      <c r="G63" s="32">
        <v>532000</v>
      </c>
      <c r="H63" s="31">
        <v>568800</v>
      </c>
      <c r="I63" s="31">
        <v>567200</v>
      </c>
      <c r="J63" s="31">
        <v>663200</v>
      </c>
      <c r="K63" s="32">
        <v>732800</v>
      </c>
      <c r="L63" s="32">
        <v>564800</v>
      </c>
      <c r="M63" s="32">
        <v>514400</v>
      </c>
      <c r="N63" s="30">
        <f t="shared" ref="N63:N69" si="12">SUM(B63:M63)</f>
        <v>6836800</v>
      </c>
      <c r="O63" s="5" t="s">
        <v>1</v>
      </c>
      <c r="Q63" s="2"/>
    </row>
    <row r="64" spans="1:22" s="1" customFormat="1" ht="20.25" x14ac:dyDescent="0.25">
      <c r="A64" s="3" t="s">
        <v>2</v>
      </c>
      <c r="B64" s="31">
        <v>211200</v>
      </c>
      <c r="C64" s="31">
        <v>153200</v>
      </c>
      <c r="D64" s="31">
        <v>269600</v>
      </c>
      <c r="E64" s="31">
        <v>272200</v>
      </c>
      <c r="F64" s="31">
        <v>336200</v>
      </c>
      <c r="G64" s="32">
        <v>273400</v>
      </c>
      <c r="H64" s="31">
        <v>299200</v>
      </c>
      <c r="I64" s="31">
        <v>284200</v>
      </c>
      <c r="J64" s="31">
        <v>329800</v>
      </c>
      <c r="K64" s="32">
        <v>366000</v>
      </c>
      <c r="L64" s="32">
        <v>290600</v>
      </c>
      <c r="M64" s="32">
        <v>267600</v>
      </c>
      <c r="N64" s="30">
        <f t="shared" si="12"/>
        <v>3353200</v>
      </c>
      <c r="O64" s="5" t="s">
        <v>2</v>
      </c>
      <c r="Q64" s="2"/>
    </row>
    <row r="65" spans="1:23" s="1" customFormat="1" ht="20.25" x14ac:dyDescent="0.25">
      <c r="A65" s="3" t="s">
        <v>3</v>
      </c>
      <c r="B65" s="31">
        <v>296780</v>
      </c>
      <c r="C65" s="31">
        <v>247501</v>
      </c>
      <c r="D65" s="31">
        <v>363287</v>
      </c>
      <c r="E65" s="31">
        <v>362631</v>
      </c>
      <c r="F65" s="31">
        <v>443674</v>
      </c>
      <c r="G65" s="32">
        <v>360351</v>
      </c>
      <c r="H65" s="31">
        <v>406209</v>
      </c>
      <c r="I65" s="31">
        <v>377746</v>
      </c>
      <c r="J65" s="31">
        <v>406464</v>
      </c>
      <c r="K65" s="32">
        <v>415649</v>
      </c>
      <c r="L65" s="32">
        <v>319314</v>
      </c>
      <c r="M65" s="32">
        <v>300197</v>
      </c>
      <c r="N65" s="30">
        <f t="shared" si="12"/>
        <v>4299803</v>
      </c>
      <c r="O65" s="5" t="s">
        <v>3</v>
      </c>
      <c r="Q65" s="2"/>
    </row>
    <row r="66" spans="1:23" s="1" customFormat="1" ht="20.25" x14ac:dyDescent="0.25">
      <c r="A66" s="3" t="s">
        <v>4</v>
      </c>
      <c r="B66" s="31">
        <v>166880</v>
      </c>
      <c r="C66" s="31">
        <v>109360</v>
      </c>
      <c r="D66" s="31">
        <v>204720</v>
      </c>
      <c r="E66" s="31">
        <v>184160</v>
      </c>
      <c r="F66" s="31">
        <v>213440</v>
      </c>
      <c r="G66" s="32">
        <v>145920</v>
      </c>
      <c r="H66" s="31">
        <v>97520</v>
      </c>
      <c r="I66" s="31">
        <v>88640</v>
      </c>
      <c r="J66" s="31">
        <v>142800</v>
      </c>
      <c r="K66" s="32">
        <v>212160</v>
      </c>
      <c r="L66" s="32">
        <v>194320</v>
      </c>
      <c r="M66" s="32">
        <v>206160</v>
      </c>
      <c r="N66" s="30">
        <f t="shared" si="12"/>
        <v>1966080</v>
      </c>
      <c r="O66" s="5" t="s">
        <v>4</v>
      </c>
      <c r="Q66" s="2"/>
    </row>
    <row r="67" spans="1:23" s="1" customFormat="1" ht="20.25" x14ac:dyDescent="0.25">
      <c r="A67" s="3" t="s">
        <v>5</v>
      </c>
      <c r="B67" s="31">
        <v>115100</v>
      </c>
      <c r="C67" s="31">
        <v>87400</v>
      </c>
      <c r="D67" s="31">
        <v>136400</v>
      </c>
      <c r="E67" s="31">
        <v>134200</v>
      </c>
      <c r="F67" s="31">
        <v>162500</v>
      </c>
      <c r="G67" s="32">
        <v>107600</v>
      </c>
      <c r="H67" s="31">
        <v>76000</v>
      </c>
      <c r="I67" s="31">
        <v>79800</v>
      </c>
      <c r="J67" s="31">
        <v>127200</v>
      </c>
      <c r="K67" s="32">
        <v>162400</v>
      </c>
      <c r="L67" s="32">
        <v>132000</v>
      </c>
      <c r="M67" s="32">
        <v>133100</v>
      </c>
      <c r="N67" s="30">
        <f t="shared" si="12"/>
        <v>1453700</v>
      </c>
      <c r="O67" s="5" t="s">
        <v>5</v>
      </c>
      <c r="Q67" s="2"/>
    </row>
    <row r="68" spans="1:23" s="1" customFormat="1" ht="20.25" x14ac:dyDescent="0.25">
      <c r="A68" s="3" t="s">
        <v>6</v>
      </c>
      <c r="B68" s="31">
        <v>39280</v>
      </c>
      <c r="C68" s="31">
        <v>34000</v>
      </c>
      <c r="D68" s="31">
        <v>50560</v>
      </c>
      <c r="E68" s="31">
        <v>49200</v>
      </c>
      <c r="F68" s="31">
        <v>62880</v>
      </c>
      <c r="G68" s="32">
        <v>57840</v>
      </c>
      <c r="H68" s="31">
        <v>64960</v>
      </c>
      <c r="I68" s="31">
        <v>66480</v>
      </c>
      <c r="J68" s="31">
        <v>70720</v>
      </c>
      <c r="K68" s="32">
        <v>72720</v>
      </c>
      <c r="L68" s="32">
        <v>60080</v>
      </c>
      <c r="M68" s="32">
        <v>54160</v>
      </c>
      <c r="N68" s="30">
        <f t="shared" si="12"/>
        <v>682880</v>
      </c>
      <c r="O68" s="5" t="s">
        <v>6</v>
      </c>
      <c r="Q68" s="2"/>
    </row>
    <row r="69" spans="1:23" s="1" customFormat="1" ht="20.25" x14ac:dyDescent="0.25">
      <c r="A69" s="3" t="s">
        <v>7</v>
      </c>
      <c r="B69" s="31">
        <v>13040</v>
      </c>
      <c r="C69" s="31">
        <v>10000</v>
      </c>
      <c r="D69" s="31">
        <v>3520</v>
      </c>
      <c r="E69" s="31">
        <v>11995</v>
      </c>
      <c r="F69" s="31">
        <v>9878</v>
      </c>
      <c r="G69" s="32">
        <v>10584</v>
      </c>
      <c r="H69" s="31">
        <v>9878</v>
      </c>
      <c r="I69" s="33">
        <v>11290</v>
      </c>
      <c r="J69" s="31">
        <v>9878</v>
      </c>
      <c r="K69" s="32">
        <v>12701</v>
      </c>
      <c r="L69" s="32">
        <v>11290</v>
      </c>
      <c r="M69" s="32">
        <v>11290</v>
      </c>
      <c r="N69" s="30">
        <f t="shared" si="12"/>
        <v>125344</v>
      </c>
      <c r="O69" s="5" t="s">
        <v>7</v>
      </c>
      <c r="Q69" s="2"/>
    </row>
    <row r="70" spans="1:23" s="1" customFormat="1" ht="20.25" x14ac:dyDescent="0.25">
      <c r="A70" s="6" t="s">
        <v>0</v>
      </c>
      <c r="B70" s="29">
        <f t="shared" ref="B70:N70" si="13">SUM(B63:B69)</f>
        <v>1292680</v>
      </c>
      <c r="C70" s="29">
        <f t="shared" si="13"/>
        <v>994261</v>
      </c>
      <c r="D70" s="29">
        <f t="shared" si="13"/>
        <v>1596087</v>
      </c>
      <c r="E70" s="29">
        <f t="shared" si="13"/>
        <v>1619986</v>
      </c>
      <c r="F70" s="29">
        <f t="shared" si="13"/>
        <v>1945372</v>
      </c>
      <c r="G70" s="29">
        <f t="shared" si="13"/>
        <v>1487695</v>
      </c>
      <c r="H70" s="29">
        <f t="shared" si="13"/>
        <v>1522567</v>
      </c>
      <c r="I70" s="29">
        <f t="shared" si="13"/>
        <v>1475356</v>
      </c>
      <c r="J70" s="29">
        <f t="shared" si="13"/>
        <v>1750062</v>
      </c>
      <c r="K70" s="29">
        <f t="shared" si="13"/>
        <v>1974430</v>
      </c>
      <c r="L70" s="29">
        <f t="shared" si="13"/>
        <v>1572404</v>
      </c>
      <c r="M70" s="29">
        <f t="shared" si="13"/>
        <v>1486907</v>
      </c>
      <c r="N70" s="29">
        <f t="shared" si="13"/>
        <v>18717807</v>
      </c>
      <c r="O70" s="7" t="s">
        <v>0</v>
      </c>
    </row>
    <row r="71" spans="1:23" s="1" customFormat="1" ht="26.25" thickBot="1" x14ac:dyDescent="0.3">
      <c r="A71" s="208" t="s">
        <v>24</v>
      </c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</row>
    <row r="72" spans="1:23" s="1" customFormat="1" ht="26.25" thickTop="1" x14ac:dyDescent="0.25">
      <c r="A72" s="13" t="s">
        <v>23</v>
      </c>
      <c r="B72" s="27">
        <v>1</v>
      </c>
      <c r="C72" s="27">
        <v>2</v>
      </c>
      <c r="D72" s="27">
        <v>3</v>
      </c>
      <c r="E72" s="27">
        <v>4</v>
      </c>
      <c r="F72" s="27">
        <v>5</v>
      </c>
      <c r="G72" s="27">
        <v>6</v>
      </c>
      <c r="H72" s="27">
        <v>7</v>
      </c>
      <c r="I72" s="27">
        <v>8</v>
      </c>
      <c r="J72" s="27">
        <v>9</v>
      </c>
      <c r="K72" s="27">
        <v>10</v>
      </c>
      <c r="L72" s="27">
        <v>11</v>
      </c>
      <c r="M72" s="27">
        <v>12</v>
      </c>
      <c r="N72" s="27" t="s">
        <v>34</v>
      </c>
      <c r="O72" s="10" t="s">
        <v>11</v>
      </c>
      <c r="R72" s="15"/>
      <c r="S72" s="9"/>
      <c r="T72" s="9"/>
      <c r="U72" s="9"/>
      <c r="V72" s="9"/>
    </row>
    <row r="73" spans="1:23" s="1" customFormat="1" ht="20.25" x14ac:dyDescent="0.25">
      <c r="A73" s="3" t="s">
        <v>1</v>
      </c>
      <c r="B73" s="31">
        <v>1336587</v>
      </c>
      <c r="C73" s="31">
        <v>1106790</v>
      </c>
      <c r="D73" s="31">
        <v>1634157</v>
      </c>
      <c r="E73" s="31">
        <v>1715611</v>
      </c>
      <c r="F73" s="31">
        <v>1953997</v>
      </c>
      <c r="G73" s="32">
        <v>1945438</v>
      </c>
      <c r="H73" s="31">
        <v>2077786</v>
      </c>
      <c r="I73" s="31">
        <v>2081789</v>
      </c>
      <c r="J73" s="31">
        <v>2385349</v>
      </c>
      <c r="K73" s="32">
        <v>2003578</v>
      </c>
      <c r="L73" s="32">
        <v>1622739</v>
      </c>
      <c r="M73" s="32">
        <v>1495327</v>
      </c>
      <c r="N73" s="30">
        <f t="shared" ref="N73:N80" si="14">SUM(B73:M73)</f>
        <v>21359148</v>
      </c>
      <c r="O73" s="5" t="s">
        <v>1</v>
      </c>
      <c r="Q73" s="17"/>
      <c r="R73" s="16"/>
      <c r="S73" s="16"/>
      <c r="T73" s="16"/>
      <c r="U73" s="16"/>
      <c r="V73" s="16"/>
    </row>
    <row r="74" spans="1:23" s="1" customFormat="1" ht="20.25" x14ac:dyDescent="0.25">
      <c r="A74" s="3" t="s">
        <v>2</v>
      </c>
      <c r="B74" s="31">
        <v>649694</v>
      </c>
      <c r="C74" s="31">
        <v>503644</v>
      </c>
      <c r="D74" s="31">
        <v>787859</v>
      </c>
      <c r="E74" s="31">
        <v>793393</v>
      </c>
      <c r="F74" s="31">
        <v>993590</v>
      </c>
      <c r="G74" s="32">
        <v>1023949</v>
      </c>
      <c r="H74" s="31">
        <v>1116586</v>
      </c>
      <c r="I74" s="31">
        <v>1078822</v>
      </c>
      <c r="J74" s="31">
        <v>1295623</v>
      </c>
      <c r="K74" s="32">
        <v>1065206</v>
      </c>
      <c r="L74" s="32">
        <v>831276</v>
      </c>
      <c r="M74" s="32">
        <v>773111</v>
      </c>
      <c r="N74" s="30">
        <f t="shared" si="14"/>
        <v>10912753</v>
      </c>
      <c r="O74" s="5" t="s">
        <v>2</v>
      </c>
      <c r="Q74" s="17"/>
      <c r="R74" s="205"/>
      <c r="S74" s="205"/>
      <c r="T74" s="205"/>
      <c r="U74" s="205"/>
      <c r="V74" s="205"/>
    </row>
    <row r="75" spans="1:23" s="1" customFormat="1" ht="20.25" x14ac:dyDescent="0.25">
      <c r="A75" s="3" t="s">
        <v>3</v>
      </c>
      <c r="B75" s="31">
        <v>845825</v>
      </c>
      <c r="C75" s="31">
        <v>717649</v>
      </c>
      <c r="D75" s="31">
        <v>1001107</v>
      </c>
      <c r="E75" s="31">
        <v>991769</v>
      </c>
      <c r="F75" s="40">
        <v>1178364</v>
      </c>
      <c r="G75" s="32">
        <v>1229484</v>
      </c>
      <c r="H75" s="31">
        <v>1358867</v>
      </c>
      <c r="I75" s="31">
        <v>1277570</v>
      </c>
      <c r="J75" s="31">
        <v>1364052</v>
      </c>
      <c r="K75" s="32">
        <v>1102983</v>
      </c>
      <c r="L75" s="32">
        <v>913916</v>
      </c>
      <c r="M75" s="32">
        <v>865834</v>
      </c>
      <c r="N75" s="30">
        <f t="shared" si="14"/>
        <v>12847420</v>
      </c>
      <c r="O75" s="5" t="s">
        <v>3</v>
      </c>
      <c r="Q75" s="18"/>
    </row>
    <row r="76" spans="1:23" s="1" customFormat="1" ht="20.25" x14ac:dyDescent="0.25">
      <c r="A76" s="3" t="s">
        <v>4</v>
      </c>
      <c r="B76" s="31">
        <v>434639</v>
      </c>
      <c r="C76" s="31">
        <v>319089</v>
      </c>
      <c r="D76" s="31">
        <v>514801</v>
      </c>
      <c r="E76" s="31">
        <v>468926</v>
      </c>
      <c r="F76" s="31">
        <v>515802</v>
      </c>
      <c r="G76" s="32">
        <v>473817</v>
      </c>
      <c r="H76" s="31">
        <v>364434</v>
      </c>
      <c r="I76" s="31">
        <v>344137</v>
      </c>
      <c r="J76" s="31">
        <v>471293</v>
      </c>
      <c r="K76" s="32">
        <v>526503</v>
      </c>
      <c r="L76" s="32">
        <v>493172</v>
      </c>
      <c r="M76" s="32">
        <v>526770</v>
      </c>
      <c r="N76" s="30">
        <f t="shared" si="14"/>
        <v>5453383</v>
      </c>
      <c r="O76" s="5" t="s">
        <v>4</v>
      </c>
    </row>
    <row r="77" spans="1:23" s="1" customFormat="1" ht="20.25" x14ac:dyDescent="0.25">
      <c r="A77" s="3" t="s">
        <v>5</v>
      </c>
      <c r="B77" s="31">
        <v>290115</v>
      </c>
      <c r="C77" s="31">
        <v>229549</v>
      </c>
      <c r="D77" s="31">
        <v>342342</v>
      </c>
      <c r="E77" s="31">
        <v>337614</v>
      </c>
      <c r="F77" s="31">
        <v>398335</v>
      </c>
      <c r="G77" s="32">
        <v>341648</v>
      </c>
      <c r="H77" s="31">
        <v>270687</v>
      </c>
      <c r="I77" s="31">
        <v>282407</v>
      </c>
      <c r="J77" s="31">
        <v>390705</v>
      </c>
      <c r="K77" s="32">
        <v>397489</v>
      </c>
      <c r="L77" s="32">
        <v>334006</v>
      </c>
      <c r="M77" s="32">
        <v>335873</v>
      </c>
      <c r="N77" s="30">
        <f t="shared" si="14"/>
        <v>3950770</v>
      </c>
      <c r="O77" s="5" t="s">
        <v>5</v>
      </c>
    </row>
    <row r="78" spans="1:23" s="1" customFormat="1" ht="20.25" x14ac:dyDescent="0.25">
      <c r="A78" s="3" t="s">
        <v>6</v>
      </c>
      <c r="B78" s="31">
        <v>137633</v>
      </c>
      <c r="C78" s="31">
        <v>121690</v>
      </c>
      <c r="D78" s="31">
        <v>168420</v>
      </c>
      <c r="E78" s="31">
        <v>165454</v>
      </c>
      <c r="F78" s="31">
        <v>199641</v>
      </c>
      <c r="G78" s="32">
        <v>212707</v>
      </c>
      <c r="H78" s="31">
        <v>228004</v>
      </c>
      <c r="I78" s="31">
        <v>229752</v>
      </c>
      <c r="J78" s="31">
        <v>313153</v>
      </c>
      <c r="K78" s="32">
        <v>240148</v>
      </c>
      <c r="L78" s="32">
        <v>190535</v>
      </c>
      <c r="M78" s="32">
        <v>174821</v>
      </c>
      <c r="N78" s="30">
        <f t="shared" si="14"/>
        <v>2381958</v>
      </c>
      <c r="O78" s="5" t="s">
        <v>6</v>
      </c>
      <c r="V78" s="12"/>
    </row>
    <row r="79" spans="1:23" s="1" customFormat="1" ht="20.25" x14ac:dyDescent="0.25">
      <c r="A79" s="3" t="s">
        <v>7</v>
      </c>
      <c r="B79" s="31">
        <v>40885</v>
      </c>
      <c r="C79" s="31">
        <v>34002</v>
      </c>
      <c r="D79" s="31">
        <v>11947</v>
      </c>
      <c r="E79" s="31">
        <v>38085</v>
      </c>
      <c r="F79" s="31">
        <v>31238</v>
      </c>
      <c r="G79" s="32">
        <v>36171</v>
      </c>
      <c r="H79" s="31">
        <v>36329</v>
      </c>
      <c r="I79" s="33">
        <v>38758</v>
      </c>
      <c r="J79" s="31">
        <v>37651</v>
      </c>
      <c r="K79" s="32">
        <v>44644</v>
      </c>
      <c r="L79" s="32">
        <v>37460</v>
      </c>
      <c r="M79" s="32">
        <v>34873</v>
      </c>
      <c r="N79" s="30">
        <f t="shared" si="14"/>
        <v>422043</v>
      </c>
      <c r="O79" s="5" t="s">
        <v>7</v>
      </c>
    </row>
    <row r="80" spans="1:23" s="1" customFormat="1" ht="28.5" customHeight="1" x14ac:dyDescent="0.25">
      <c r="A80" s="6" t="s">
        <v>0</v>
      </c>
      <c r="B80" s="29">
        <f t="shared" ref="B80:M80" si="15">SUM(B73:B79)</f>
        <v>3735378</v>
      </c>
      <c r="C80" s="29">
        <f t="shared" si="15"/>
        <v>3032413</v>
      </c>
      <c r="D80" s="29">
        <f t="shared" si="15"/>
        <v>4460633</v>
      </c>
      <c r="E80" s="29">
        <f t="shared" si="15"/>
        <v>4510852</v>
      </c>
      <c r="F80" s="29">
        <f t="shared" si="15"/>
        <v>5270967</v>
      </c>
      <c r="G80" s="29">
        <f t="shared" si="15"/>
        <v>5263214</v>
      </c>
      <c r="H80" s="29">
        <f t="shared" si="15"/>
        <v>5452693</v>
      </c>
      <c r="I80" s="29">
        <f t="shared" si="15"/>
        <v>5333235</v>
      </c>
      <c r="J80" s="29">
        <f t="shared" si="15"/>
        <v>6257826</v>
      </c>
      <c r="K80" s="29">
        <f t="shared" si="15"/>
        <v>5380551</v>
      </c>
      <c r="L80" s="29">
        <f t="shared" si="15"/>
        <v>4423104</v>
      </c>
      <c r="M80" s="29">
        <f t="shared" si="15"/>
        <v>4206609</v>
      </c>
      <c r="N80" s="29">
        <f t="shared" si="14"/>
        <v>57327475</v>
      </c>
      <c r="O80" s="7" t="s">
        <v>0</v>
      </c>
      <c r="V80"/>
      <c r="W80"/>
    </row>
    <row r="81" spans="1:15" ht="26.25" thickBot="1" x14ac:dyDescent="0.3">
      <c r="A81" s="208" t="s">
        <v>30</v>
      </c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</row>
    <row r="82" spans="1:15" ht="26.25" thickTop="1" x14ac:dyDescent="0.25">
      <c r="A82" s="13" t="s">
        <v>28</v>
      </c>
      <c r="B82" s="27">
        <v>1</v>
      </c>
      <c r="C82" s="27">
        <v>2</v>
      </c>
      <c r="D82" s="27">
        <v>3</v>
      </c>
      <c r="E82" s="27">
        <v>4</v>
      </c>
      <c r="F82" s="27">
        <v>5</v>
      </c>
      <c r="G82" s="27">
        <v>6</v>
      </c>
      <c r="H82" s="27">
        <v>7</v>
      </c>
      <c r="I82" s="27">
        <v>8</v>
      </c>
      <c r="J82" s="27">
        <v>9</v>
      </c>
      <c r="K82" s="27">
        <v>10</v>
      </c>
      <c r="L82" s="27">
        <v>11</v>
      </c>
      <c r="M82" s="27">
        <v>12</v>
      </c>
      <c r="N82" s="27" t="s">
        <v>34</v>
      </c>
      <c r="O82" s="10" t="s">
        <v>35</v>
      </c>
    </row>
    <row r="83" spans="1:15" ht="20.25" x14ac:dyDescent="0.25">
      <c r="A83" s="3" t="s">
        <v>1</v>
      </c>
      <c r="B83" s="31">
        <v>420800</v>
      </c>
      <c r="C83" s="31">
        <v>354400</v>
      </c>
      <c r="D83" s="31">
        <v>534400</v>
      </c>
      <c r="E83" s="31">
        <v>572000</v>
      </c>
      <c r="F83" s="31">
        <v>598400</v>
      </c>
      <c r="G83" s="32">
        <v>634400</v>
      </c>
      <c r="H83" s="31">
        <v>671200</v>
      </c>
      <c r="I83" s="31">
        <v>711200</v>
      </c>
      <c r="J83" s="31">
        <v>754400</v>
      </c>
      <c r="K83" s="32">
        <v>712000</v>
      </c>
      <c r="L83" s="32">
        <v>652800</v>
      </c>
      <c r="M83" s="32">
        <v>534400</v>
      </c>
      <c r="N83" s="28">
        <f t="shared" ref="N83:N89" si="16">SUM(B83:M83)</f>
        <v>7150400</v>
      </c>
      <c r="O83" s="5" t="s">
        <v>1</v>
      </c>
    </row>
    <row r="84" spans="1:15" ht="20.25" x14ac:dyDescent="0.25">
      <c r="A84" s="3" t="s">
        <v>2</v>
      </c>
      <c r="B84" s="31">
        <v>218000</v>
      </c>
      <c r="C84" s="31">
        <v>173800</v>
      </c>
      <c r="D84" s="31">
        <v>299000</v>
      </c>
      <c r="E84" s="31">
        <v>292400</v>
      </c>
      <c r="F84" s="31">
        <v>321600</v>
      </c>
      <c r="G84" s="32">
        <v>338000</v>
      </c>
      <c r="H84" s="31">
        <v>342200</v>
      </c>
      <c r="I84" s="31">
        <v>348000</v>
      </c>
      <c r="J84" s="31">
        <v>366200</v>
      </c>
      <c r="K84" s="32">
        <v>342200</v>
      </c>
      <c r="L84" s="32">
        <v>323200</v>
      </c>
      <c r="M84" s="32">
        <v>274400</v>
      </c>
      <c r="N84" s="28">
        <f t="shared" si="16"/>
        <v>3639000</v>
      </c>
      <c r="O84" s="5" t="s">
        <v>2</v>
      </c>
    </row>
    <row r="85" spans="1:15" ht="20.25" x14ac:dyDescent="0.25">
      <c r="A85" s="3" t="s">
        <v>3</v>
      </c>
      <c r="B85" s="31">
        <v>261493</v>
      </c>
      <c r="C85" s="31">
        <v>216997</v>
      </c>
      <c r="D85" s="31">
        <v>325229</v>
      </c>
      <c r="E85" s="31">
        <v>330572</v>
      </c>
      <c r="F85" s="31">
        <v>371164</v>
      </c>
      <c r="G85" s="32">
        <v>428904</v>
      </c>
      <c r="H85" s="31">
        <v>497337</v>
      </c>
      <c r="I85" s="31">
        <v>514313</v>
      </c>
      <c r="J85" s="31">
        <v>450176</v>
      </c>
      <c r="K85" s="32">
        <v>399576</v>
      </c>
      <c r="L85" s="32">
        <v>387217</v>
      </c>
      <c r="M85" s="32">
        <v>313916</v>
      </c>
      <c r="N85" s="28">
        <f t="shared" si="16"/>
        <v>4496894</v>
      </c>
      <c r="O85" s="5" t="s">
        <v>3</v>
      </c>
    </row>
    <row r="86" spans="1:15" ht="20.25" x14ac:dyDescent="0.25">
      <c r="A86" s="3" t="s">
        <v>4</v>
      </c>
      <c r="B86" s="31">
        <v>175840</v>
      </c>
      <c r="C86" s="31">
        <v>148000</v>
      </c>
      <c r="D86" s="31">
        <v>201520</v>
      </c>
      <c r="E86" s="31">
        <v>197920</v>
      </c>
      <c r="F86" s="31">
        <v>181280</v>
      </c>
      <c r="G86" s="32">
        <v>175280</v>
      </c>
      <c r="H86" s="31">
        <v>109120</v>
      </c>
      <c r="I86" s="31">
        <v>88880</v>
      </c>
      <c r="J86" s="31">
        <v>183440</v>
      </c>
      <c r="K86" s="32">
        <v>197200</v>
      </c>
      <c r="L86" s="32">
        <v>200160</v>
      </c>
      <c r="M86" s="32">
        <v>215200</v>
      </c>
      <c r="N86" s="28">
        <f t="shared" si="16"/>
        <v>2073840</v>
      </c>
      <c r="O86" s="5" t="s">
        <v>4</v>
      </c>
    </row>
    <row r="87" spans="1:15" ht="20.25" x14ac:dyDescent="0.25">
      <c r="A87" s="3" t="s">
        <v>5</v>
      </c>
      <c r="B87" s="31">
        <v>129000</v>
      </c>
      <c r="C87" s="31">
        <v>128100</v>
      </c>
      <c r="D87" s="31">
        <v>182800</v>
      </c>
      <c r="E87" s="31">
        <v>169000</v>
      </c>
      <c r="F87" s="31">
        <v>137600</v>
      </c>
      <c r="G87" s="32">
        <v>137600</v>
      </c>
      <c r="H87" s="31">
        <v>79300</v>
      </c>
      <c r="I87" s="31">
        <v>78000</v>
      </c>
      <c r="J87" s="31">
        <v>158200</v>
      </c>
      <c r="K87" s="32">
        <v>157500</v>
      </c>
      <c r="L87" s="32">
        <v>164200</v>
      </c>
      <c r="M87" s="32">
        <v>166600</v>
      </c>
      <c r="N87" s="28">
        <f t="shared" si="16"/>
        <v>1687900</v>
      </c>
      <c r="O87" s="5" t="s">
        <v>5</v>
      </c>
    </row>
    <row r="88" spans="1:15" ht="20.25" x14ac:dyDescent="0.25">
      <c r="A88" s="3" t="s">
        <v>6</v>
      </c>
      <c r="B88" s="31">
        <v>45920</v>
      </c>
      <c r="C88" s="31">
        <v>36320</v>
      </c>
      <c r="D88" s="31">
        <v>51600</v>
      </c>
      <c r="E88" s="33">
        <v>48640</v>
      </c>
      <c r="F88" s="31">
        <v>47040</v>
      </c>
      <c r="G88" s="34">
        <v>49200</v>
      </c>
      <c r="H88" s="31">
        <v>61840</v>
      </c>
      <c r="I88" s="31">
        <v>64400</v>
      </c>
      <c r="J88" s="31">
        <v>57200</v>
      </c>
      <c r="K88" s="32">
        <v>52960</v>
      </c>
      <c r="L88" s="32">
        <v>48880</v>
      </c>
      <c r="M88" s="32">
        <v>38960</v>
      </c>
      <c r="N88" s="28">
        <f t="shared" si="16"/>
        <v>602960</v>
      </c>
      <c r="O88" s="5" t="s">
        <v>6</v>
      </c>
    </row>
    <row r="89" spans="1:15" ht="20.25" x14ac:dyDescent="0.25">
      <c r="A89" s="3" t="s">
        <v>7</v>
      </c>
      <c r="B89" s="31">
        <v>9878</v>
      </c>
      <c r="C89" s="31">
        <v>8467</v>
      </c>
      <c r="D89" s="31">
        <v>9878</v>
      </c>
      <c r="E89" s="31">
        <v>7762</v>
      </c>
      <c r="F89" s="31">
        <v>9173</v>
      </c>
      <c r="G89" s="32">
        <v>9173</v>
      </c>
      <c r="H89" s="31">
        <v>8467</v>
      </c>
      <c r="I89" s="33">
        <v>11290</v>
      </c>
      <c r="J89" s="31">
        <v>9878</v>
      </c>
      <c r="K89" s="32">
        <v>13406</v>
      </c>
      <c r="L89" s="32">
        <v>9878</v>
      </c>
      <c r="M89" s="32">
        <v>10584</v>
      </c>
      <c r="N89" s="28">
        <f t="shared" si="16"/>
        <v>117834</v>
      </c>
      <c r="O89" s="5" t="s">
        <v>7</v>
      </c>
    </row>
    <row r="90" spans="1:15" ht="20.25" x14ac:dyDescent="0.25">
      <c r="A90" s="6" t="s">
        <v>0</v>
      </c>
      <c r="B90" s="29">
        <f t="shared" ref="B90:N90" si="17">SUM(B83:B89)</f>
        <v>1260931</v>
      </c>
      <c r="C90" s="29">
        <f t="shared" si="17"/>
        <v>1066084</v>
      </c>
      <c r="D90" s="29">
        <f t="shared" si="17"/>
        <v>1604427</v>
      </c>
      <c r="E90" s="29">
        <f t="shared" si="17"/>
        <v>1618294</v>
      </c>
      <c r="F90" s="29">
        <f t="shared" si="17"/>
        <v>1666257</v>
      </c>
      <c r="G90" s="29">
        <f t="shared" si="17"/>
        <v>1772557</v>
      </c>
      <c r="H90" s="29">
        <f t="shared" si="17"/>
        <v>1769464</v>
      </c>
      <c r="I90" s="29">
        <f t="shared" si="17"/>
        <v>1816083</v>
      </c>
      <c r="J90" s="29">
        <f t="shared" si="17"/>
        <v>1979494</v>
      </c>
      <c r="K90" s="29">
        <f t="shared" si="17"/>
        <v>1874842</v>
      </c>
      <c r="L90" s="29">
        <f t="shared" si="17"/>
        <v>1786335</v>
      </c>
      <c r="M90" s="29">
        <f t="shared" si="17"/>
        <v>1554060</v>
      </c>
      <c r="N90" s="29">
        <f t="shared" si="17"/>
        <v>19768828</v>
      </c>
      <c r="O90" s="7" t="s">
        <v>0</v>
      </c>
    </row>
    <row r="91" spans="1:15" ht="26.25" thickBot="1" x14ac:dyDescent="0.3">
      <c r="A91" s="208" t="s">
        <v>29</v>
      </c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</row>
    <row r="92" spans="1:15" ht="26.25" thickTop="1" x14ac:dyDescent="0.25">
      <c r="A92" s="13" t="s">
        <v>28</v>
      </c>
      <c r="B92" s="27">
        <v>1</v>
      </c>
      <c r="C92" s="27">
        <v>2</v>
      </c>
      <c r="D92" s="27">
        <v>3</v>
      </c>
      <c r="E92" s="27">
        <v>4</v>
      </c>
      <c r="F92" s="27">
        <v>5</v>
      </c>
      <c r="G92" s="27">
        <v>6</v>
      </c>
      <c r="H92" s="27">
        <v>7</v>
      </c>
      <c r="I92" s="27">
        <v>8</v>
      </c>
      <c r="J92" s="27">
        <v>9</v>
      </c>
      <c r="K92" s="27">
        <v>10</v>
      </c>
      <c r="L92" s="27">
        <v>11</v>
      </c>
      <c r="M92" s="27">
        <v>12</v>
      </c>
      <c r="N92" s="27" t="s">
        <v>34</v>
      </c>
      <c r="O92" s="10" t="s">
        <v>11</v>
      </c>
    </row>
    <row r="93" spans="1:15" ht="20.25" x14ac:dyDescent="0.25">
      <c r="A93" s="3" t="s">
        <v>1</v>
      </c>
      <c r="B93" s="31">
        <v>1245269</v>
      </c>
      <c r="C93" s="31">
        <v>1083711</v>
      </c>
      <c r="D93" s="31">
        <v>1554139</v>
      </c>
      <c r="E93" s="31">
        <v>1610660</v>
      </c>
      <c r="F93" s="31">
        <v>1671192</v>
      </c>
      <c r="G93" s="32">
        <v>2259737</v>
      </c>
      <c r="H93" s="31">
        <v>2666730</v>
      </c>
      <c r="I93" s="31">
        <v>2887790</v>
      </c>
      <c r="J93" s="31">
        <v>3063532</v>
      </c>
      <c r="K93" s="32">
        <v>2207444</v>
      </c>
      <c r="L93" s="32">
        <v>2084031</v>
      </c>
      <c r="M93" s="32">
        <v>1712091</v>
      </c>
      <c r="N93" s="28">
        <f t="shared" ref="N93:N100" si="18">SUM(B93:M93)</f>
        <v>24046326</v>
      </c>
      <c r="O93" s="5" t="s">
        <v>1</v>
      </c>
    </row>
    <row r="94" spans="1:15" ht="20.25" x14ac:dyDescent="0.25">
      <c r="A94" s="3" t="s">
        <v>2</v>
      </c>
      <c r="B94" s="31">
        <v>642271</v>
      </c>
      <c r="C94" s="31">
        <v>533499</v>
      </c>
      <c r="D94" s="31">
        <v>849384</v>
      </c>
      <c r="E94" s="31">
        <v>837243</v>
      </c>
      <c r="F94" s="31">
        <v>890645</v>
      </c>
      <c r="G94" s="32">
        <v>1227481</v>
      </c>
      <c r="H94" s="31">
        <v>1421153</v>
      </c>
      <c r="I94" s="31">
        <v>1468908</v>
      </c>
      <c r="J94" s="31">
        <v>1586706</v>
      </c>
      <c r="K94" s="32">
        <v>1145093</v>
      </c>
      <c r="L94" s="32">
        <v>1054081</v>
      </c>
      <c r="M94" s="32">
        <v>891537</v>
      </c>
      <c r="N94" s="28">
        <f t="shared" si="18"/>
        <v>12548001</v>
      </c>
      <c r="O94" s="5" t="s">
        <v>2</v>
      </c>
    </row>
    <row r="95" spans="1:15" ht="20.25" x14ac:dyDescent="0.25">
      <c r="A95" s="3" t="s">
        <v>3</v>
      </c>
      <c r="B95" s="31">
        <v>756326</v>
      </c>
      <c r="C95" s="31">
        <v>634797</v>
      </c>
      <c r="D95" s="31">
        <v>899476</v>
      </c>
      <c r="E95" s="31">
        <v>915631</v>
      </c>
      <c r="F95" s="40">
        <v>1001285</v>
      </c>
      <c r="G95" s="32">
        <v>1412135</v>
      </c>
      <c r="H95" s="31">
        <v>1872244</v>
      </c>
      <c r="I95" s="31">
        <v>1980642</v>
      </c>
      <c r="J95" s="31">
        <v>1771656</v>
      </c>
      <c r="K95" s="32">
        <v>1223892</v>
      </c>
      <c r="L95" s="32">
        <v>1236492</v>
      </c>
      <c r="M95" s="32">
        <v>1016433</v>
      </c>
      <c r="N95" s="28">
        <f t="shared" si="18"/>
        <v>14721009</v>
      </c>
      <c r="O95" s="5" t="s">
        <v>3</v>
      </c>
    </row>
    <row r="96" spans="1:15" ht="20.25" x14ac:dyDescent="0.25">
      <c r="A96" s="3" t="s">
        <v>4</v>
      </c>
      <c r="B96" s="31">
        <v>448861</v>
      </c>
      <c r="C96" s="31">
        <v>420455</v>
      </c>
      <c r="D96" s="31">
        <v>495907</v>
      </c>
      <c r="E96" s="31">
        <v>481181</v>
      </c>
      <c r="F96" s="31">
        <v>456700</v>
      </c>
      <c r="G96" s="32">
        <v>539779</v>
      </c>
      <c r="H96" s="31">
        <v>429146</v>
      </c>
      <c r="I96" s="31">
        <v>384244</v>
      </c>
      <c r="J96" s="31">
        <v>636300</v>
      </c>
      <c r="K96" s="32">
        <v>547104</v>
      </c>
      <c r="L96" s="32">
        <v>574262</v>
      </c>
      <c r="M96" s="32">
        <v>598445</v>
      </c>
      <c r="N96" s="28">
        <f t="shared" si="18"/>
        <v>6012384</v>
      </c>
      <c r="O96" s="5" t="s">
        <v>4</v>
      </c>
    </row>
    <row r="97" spans="1:23" ht="20.25" x14ac:dyDescent="0.25">
      <c r="A97" s="3" t="s">
        <v>5</v>
      </c>
      <c r="B97" s="31">
        <v>313442</v>
      </c>
      <c r="C97" s="31">
        <v>310790</v>
      </c>
      <c r="D97" s="31">
        <v>450529</v>
      </c>
      <c r="E97" s="31">
        <v>427800</v>
      </c>
      <c r="F97" s="31">
        <v>337333</v>
      </c>
      <c r="G97" s="32">
        <v>413687</v>
      </c>
      <c r="H97" s="31">
        <v>306402</v>
      </c>
      <c r="I97" s="31">
        <v>314763</v>
      </c>
      <c r="J97" s="31">
        <v>534703</v>
      </c>
      <c r="K97" s="32">
        <v>428473</v>
      </c>
      <c r="L97" s="32">
        <v>474883</v>
      </c>
      <c r="M97" s="32">
        <v>460952</v>
      </c>
      <c r="N97" s="28">
        <f t="shared" si="18"/>
        <v>4773757</v>
      </c>
      <c r="O97" s="5" t="s">
        <v>5</v>
      </c>
    </row>
    <row r="98" spans="1:23" ht="20.25" x14ac:dyDescent="0.25">
      <c r="A98" s="3" t="s">
        <v>6</v>
      </c>
      <c r="B98" s="31">
        <v>152335</v>
      </c>
      <c r="C98" s="31">
        <v>125197</v>
      </c>
      <c r="D98" s="31">
        <v>171122</v>
      </c>
      <c r="E98" s="33">
        <v>190492</v>
      </c>
      <c r="F98" s="31">
        <v>158889</v>
      </c>
      <c r="G98" s="32">
        <v>215382</v>
      </c>
      <c r="H98" s="31">
        <v>338401</v>
      </c>
      <c r="I98" s="31">
        <v>343219</v>
      </c>
      <c r="J98" s="31">
        <v>240792</v>
      </c>
      <c r="K98" s="32">
        <v>190061</v>
      </c>
      <c r="L98" s="32">
        <v>186041</v>
      </c>
      <c r="M98" s="32">
        <v>154392</v>
      </c>
      <c r="N98" s="28">
        <f t="shared" si="18"/>
        <v>2466323</v>
      </c>
      <c r="O98" s="5" t="s">
        <v>6</v>
      </c>
    </row>
    <row r="99" spans="1:23" ht="20.25" x14ac:dyDescent="0.25">
      <c r="A99" s="3" t="s">
        <v>7</v>
      </c>
      <c r="B99" s="31">
        <v>31238</v>
      </c>
      <c r="C99" s="31">
        <v>26751</v>
      </c>
      <c r="D99" s="31">
        <v>31238</v>
      </c>
      <c r="E99" s="31">
        <v>25924</v>
      </c>
      <c r="F99" s="31">
        <v>30980</v>
      </c>
      <c r="G99" s="32">
        <v>30751</v>
      </c>
      <c r="H99" s="31">
        <v>33351</v>
      </c>
      <c r="I99" s="33">
        <v>39867</v>
      </c>
      <c r="J99" s="31">
        <v>40561</v>
      </c>
      <c r="K99" s="32">
        <v>43759</v>
      </c>
      <c r="L99" s="32">
        <v>31888</v>
      </c>
      <c r="M99" s="32">
        <v>34253</v>
      </c>
      <c r="N99" s="28">
        <f t="shared" si="18"/>
        <v>400561</v>
      </c>
      <c r="O99" s="5" t="s">
        <v>7</v>
      </c>
    </row>
    <row r="100" spans="1:23" ht="20.25" x14ac:dyDescent="0.25">
      <c r="A100" s="6" t="s">
        <v>0</v>
      </c>
      <c r="B100" s="29">
        <f>SUM(B93:B99)</f>
        <v>3589742</v>
      </c>
      <c r="C100" s="29">
        <f>SUM(C93:C99)</f>
        <v>3135200</v>
      </c>
      <c r="D100" s="29">
        <f>SUM(D93:D99)</f>
        <v>4451795</v>
      </c>
      <c r="E100" s="29">
        <f>SUM(E93:E99)</f>
        <v>4488931</v>
      </c>
      <c r="F100" s="29">
        <f>SUM(F93:F99)</f>
        <v>4547024</v>
      </c>
      <c r="G100" s="29">
        <f t="shared" ref="G100:M100" si="19">SUM(G93:G99)</f>
        <v>6098952</v>
      </c>
      <c r="H100" s="29">
        <f t="shared" si="19"/>
        <v>7067427</v>
      </c>
      <c r="I100" s="29">
        <f t="shared" si="19"/>
        <v>7419433</v>
      </c>
      <c r="J100" s="29">
        <f t="shared" si="19"/>
        <v>7874250</v>
      </c>
      <c r="K100" s="29">
        <f t="shared" si="19"/>
        <v>5785826</v>
      </c>
      <c r="L100" s="29">
        <f t="shared" si="19"/>
        <v>5641678</v>
      </c>
      <c r="M100" s="29">
        <f t="shared" si="19"/>
        <v>4868103</v>
      </c>
      <c r="N100" s="29">
        <f t="shared" si="18"/>
        <v>64968361</v>
      </c>
      <c r="O100" s="7" t="s">
        <v>0</v>
      </c>
      <c r="R100" s="21"/>
      <c r="S100" s="20"/>
      <c r="T100" s="20"/>
      <c r="U100" s="20"/>
      <c r="V100" s="20"/>
      <c r="W100" s="22"/>
    </row>
    <row r="101" spans="1:23" ht="26.25" thickBot="1" x14ac:dyDescent="0.3">
      <c r="A101" s="208" t="s">
        <v>31</v>
      </c>
      <c r="B101" s="208"/>
      <c r="C101" s="208"/>
      <c r="D101" s="208"/>
      <c r="E101" s="208"/>
      <c r="F101" s="208"/>
      <c r="G101" s="208"/>
      <c r="H101" s="208"/>
      <c r="I101" s="208"/>
      <c r="J101" s="208"/>
      <c r="K101" s="213"/>
      <c r="L101" s="208"/>
      <c r="M101" s="208"/>
      <c r="N101" s="208"/>
      <c r="O101" s="208"/>
      <c r="R101" s="20"/>
      <c r="S101" s="20"/>
      <c r="T101" s="20"/>
      <c r="U101" s="20"/>
      <c r="V101" s="20"/>
      <c r="W101" s="22"/>
    </row>
    <row r="102" spans="1:23" ht="26.25" thickTop="1" x14ac:dyDescent="0.25">
      <c r="A102" s="13" t="s">
        <v>33</v>
      </c>
      <c r="B102" s="27">
        <v>1</v>
      </c>
      <c r="C102" s="27">
        <v>2</v>
      </c>
      <c r="D102" s="27">
        <v>3</v>
      </c>
      <c r="E102" s="27">
        <v>4</v>
      </c>
      <c r="F102" s="27">
        <v>5</v>
      </c>
      <c r="G102" s="27">
        <v>6</v>
      </c>
      <c r="H102" s="27">
        <v>7</v>
      </c>
      <c r="I102" s="27">
        <v>8</v>
      </c>
      <c r="J102" s="54">
        <v>9</v>
      </c>
      <c r="K102" s="60">
        <v>10</v>
      </c>
      <c r="L102" s="57">
        <v>11</v>
      </c>
      <c r="M102" s="27">
        <v>12</v>
      </c>
      <c r="N102" s="27" t="s">
        <v>34</v>
      </c>
      <c r="O102" s="10" t="s">
        <v>49</v>
      </c>
      <c r="R102" s="20"/>
      <c r="S102" s="20"/>
      <c r="T102" s="20"/>
      <c r="U102" s="20"/>
      <c r="V102" s="20"/>
      <c r="W102" s="22"/>
    </row>
    <row r="103" spans="1:23" ht="20.25" x14ac:dyDescent="0.3">
      <c r="A103" s="3" t="s">
        <v>1</v>
      </c>
      <c r="B103" s="31">
        <v>379200</v>
      </c>
      <c r="C103" s="31">
        <v>380800</v>
      </c>
      <c r="D103" s="31">
        <v>537600</v>
      </c>
      <c r="E103" s="35">
        <v>554400</v>
      </c>
      <c r="F103" s="36">
        <v>775200</v>
      </c>
      <c r="G103" s="23">
        <v>731200</v>
      </c>
      <c r="H103" s="31">
        <v>682400</v>
      </c>
      <c r="I103" s="50">
        <v>672800</v>
      </c>
      <c r="J103" s="55">
        <v>752000</v>
      </c>
      <c r="K103" s="61">
        <v>728000</v>
      </c>
      <c r="L103" s="58">
        <v>612000</v>
      </c>
      <c r="M103" s="24">
        <v>536000</v>
      </c>
      <c r="N103" s="28">
        <f t="shared" ref="N103:N110" si="20">SUM(B103:M103)</f>
        <v>7341600</v>
      </c>
      <c r="O103" s="5" t="s">
        <v>1</v>
      </c>
      <c r="Q103" s="206"/>
      <c r="R103" s="20"/>
      <c r="S103" s="20"/>
      <c r="T103" s="20"/>
      <c r="U103" s="20"/>
      <c r="V103" s="20"/>
      <c r="W103" s="22"/>
    </row>
    <row r="104" spans="1:23" ht="20.25" x14ac:dyDescent="0.3">
      <c r="A104" s="3" t="s">
        <v>2</v>
      </c>
      <c r="B104" s="31">
        <v>188600</v>
      </c>
      <c r="C104" s="31">
        <v>205200</v>
      </c>
      <c r="D104" s="31">
        <v>284600</v>
      </c>
      <c r="E104" s="35">
        <v>278000</v>
      </c>
      <c r="F104" s="36">
        <v>383400</v>
      </c>
      <c r="G104" s="23">
        <v>387600</v>
      </c>
      <c r="H104" s="31">
        <v>360400</v>
      </c>
      <c r="I104" s="50">
        <v>329600</v>
      </c>
      <c r="J104" s="55">
        <v>373000</v>
      </c>
      <c r="K104" s="61">
        <v>361800</v>
      </c>
      <c r="L104" s="58">
        <v>331800</v>
      </c>
      <c r="M104" s="24">
        <v>295400</v>
      </c>
      <c r="N104" s="28">
        <f t="shared" si="20"/>
        <v>3779400</v>
      </c>
      <c r="O104" s="5" t="s">
        <v>2</v>
      </c>
      <c r="Q104" s="206"/>
      <c r="R104" s="20"/>
      <c r="S104" s="20"/>
      <c r="T104" s="20"/>
      <c r="U104" s="20"/>
      <c r="V104" s="20"/>
      <c r="W104" s="22"/>
    </row>
    <row r="105" spans="1:23" ht="20.25" x14ac:dyDescent="0.3">
      <c r="A105" s="3" t="s">
        <v>3</v>
      </c>
      <c r="B105" s="31">
        <v>253577</v>
      </c>
      <c r="C105" s="31">
        <v>254557</v>
      </c>
      <c r="D105" s="31">
        <v>337170</v>
      </c>
      <c r="E105" s="35">
        <v>348060</v>
      </c>
      <c r="F105" s="36">
        <v>459717</v>
      </c>
      <c r="G105" s="23">
        <v>480840</v>
      </c>
      <c r="H105" s="31">
        <v>548665</v>
      </c>
      <c r="I105" s="50">
        <v>498417</v>
      </c>
      <c r="J105" s="55">
        <v>468293</v>
      </c>
      <c r="K105" s="61">
        <v>437793</v>
      </c>
      <c r="L105" s="58">
        <v>381445</v>
      </c>
      <c r="M105" s="24">
        <v>343562</v>
      </c>
      <c r="N105" s="28">
        <f t="shared" si="20"/>
        <v>4812096</v>
      </c>
      <c r="O105" s="5" t="s">
        <v>3</v>
      </c>
      <c r="Q105" s="206"/>
      <c r="R105" s="20"/>
      <c r="S105" s="20"/>
      <c r="T105" s="20"/>
      <c r="U105" s="20"/>
      <c r="V105" s="20"/>
      <c r="W105" s="22"/>
    </row>
    <row r="106" spans="1:23" ht="20.25" x14ac:dyDescent="0.3">
      <c r="A106" s="3" t="s">
        <v>4</v>
      </c>
      <c r="B106" s="31">
        <v>140320</v>
      </c>
      <c r="C106" s="31">
        <v>145520</v>
      </c>
      <c r="D106" s="31">
        <v>202320</v>
      </c>
      <c r="E106" s="35">
        <v>190160</v>
      </c>
      <c r="F106" s="36">
        <v>228080</v>
      </c>
      <c r="G106" s="23">
        <v>196000</v>
      </c>
      <c r="H106" s="31">
        <v>113840</v>
      </c>
      <c r="I106" s="50">
        <v>93040</v>
      </c>
      <c r="J106" s="55">
        <v>194640</v>
      </c>
      <c r="K106" s="61">
        <v>207520</v>
      </c>
      <c r="L106" s="58">
        <v>196320</v>
      </c>
      <c r="M106" s="24">
        <v>196640</v>
      </c>
      <c r="N106" s="28">
        <f t="shared" si="20"/>
        <v>2104400</v>
      </c>
      <c r="O106" s="5" t="s">
        <v>4</v>
      </c>
      <c r="Q106" s="206"/>
      <c r="R106" s="20">
        <f>R111*1.035</f>
        <v>0</v>
      </c>
      <c r="S106" s="20"/>
      <c r="T106" s="20"/>
      <c r="U106" s="20"/>
      <c r="V106" s="20"/>
      <c r="W106" s="22"/>
    </row>
    <row r="107" spans="1:23" ht="20.25" x14ac:dyDescent="0.3">
      <c r="A107" s="3" t="s">
        <v>5</v>
      </c>
      <c r="B107" s="31">
        <v>116300</v>
      </c>
      <c r="C107" s="31">
        <v>114700</v>
      </c>
      <c r="D107" s="31">
        <v>162600</v>
      </c>
      <c r="E107" s="35">
        <v>149800</v>
      </c>
      <c r="F107" s="36">
        <v>181100</v>
      </c>
      <c r="G107" s="23">
        <v>157700</v>
      </c>
      <c r="H107" s="31">
        <v>62000</v>
      </c>
      <c r="I107" s="50">
        <v>65200</v>
      </c>
      <c r="J107" s="55">
        <v>180600</v>
      </c>
      <c r="K107" s="61">
        <v>189400</v>
      </c>
      <c r="L107" s="58">
        <v>173600</v>
      </c>
      <c r="M107" s="24">
        <v>162900</v>
      </c>
      <c r="N107" s="28">
        <f t="shared" si="20"/>
        <v>1715900</v>
      </c>
      <c r="O107" s="5" t="s">
        <v>5</v>
      </c>
      <c r="Q107" s="206"/>
      <c r="R107" s="20"/>
      <c r="S107" s="20"/>
      <c r="T107" s="20"/>
      <c r="U107" s="20"/>
      <c r="V107" s="20"/>
      <c r="W107" s="22"/>
    </row>
    <row r="108" spans="1:23" ht="20.25" x14ac:dyDescent="0.3">
      <c r="A108" s="3" t="s">
        <v>6</v>
      </c>
      <c r="B108" s="31">
        <v>28160</v>
      </c>
      <c r="C108" s="31">
        <v>30480</v>
      </c>
      <c r="D108" s="31">
        <v>38320</v>
      </c>
      <c r="E108" s="35">
        <v>40880</v>
      </c>
      <c r="F108" s="35">
        <v>52960</v>
      </c>
      <c r="G108" s="23">
        <v>54800</v>
      </c>
      <c r="H108" s="31">
        <v>70880</v>
      </c>
      <c r="I108" s="50">
        <v>67760</v>
      </c>
      <c r="J108" s="55">
        <v>57440</v>
      </c>
      <c r="K108" s="61">
        <v>54400</v>
      </c>
      <c r="L108" s="58">
        <v>49840</v>
      </c>
      <c r="M108" s="24">
        <v>41520</v>
      </c>
      <c r="N108" s="28">
        <f t="shared" si="20"/>
        <v>587440</v>
      </c>
      <c r="O108" s="5" t="s">
        <v>6</v>
      </c>
      <c r="Q108" s="206"/>
      <c r="R108" s="20"/>
      <c r="S108" s="20"/>
      <c r="T108" s="20"/>
      <c r="U108" s="20"/>
      <c r="V108" s="20"/>
      <c r="W108" s="22"/>
    </row>
    <row r="109" spans="1:23" ht="20.25" x14ac:dyDescent="0.3">
      <c r="A109" s="3" t="s">
        <v>7</v>
      </c>
      <c r="B109" s="31">
        <v>10231</v>
      </c>
      <c r="C109" s="31">
        <v>8427</v>
      </c>
      <c r="D109" s="31">
        <v>8467</v>
      </c>
      <c r="E109" s="35">
        <v>9173</v>
      </c>
      <c r="F109" s="36">
        <v>9878</v>
      </c>
      <c r="G109" s="23">
        <v>10584</v>
      </c>
      <c r="H109" s="31">
        <v>11995</v>
      </c>
      <c r="I109" s="50">
        <v>11290</v>
      </c>
      <c r="J109" s="55">
        <v>11290</v>
      </c>
      <c r="K109" s="61">
        <v>11995</v>
      </c>
      <c r="L109" s="58">
        <v>11290</v>
      </c>
      <c r="M109" s="24">
        <v>9173</v>
      </c>
      <c r="N109" s="28">
        <f t="shared" si="20"/>
        <v>123793</v>
      </c>
      <c r="O109" s="5" t="s">
        <v>7</v>
      </c>
      <c r="Q109" s="206"/>
      <c r="R109" s="20"/>
      <c r="S109" s="20"/>
      <c r="T109" s="20"/>
      <c r="U109" s="20"/>
      <c r="V109" s="20"/>
      <c r="W109" s="22"/>
    </row>
    <row r="110" spans="1:23" thickBot="1" x14ac:dyDescent="0.35">
      <c r="A110" s="6" t="s">
        <v>0</v>
      </c>
      <c r="B110" s="29">
        <f t="shared" ref="B110:H110" si="21">SUM(B103:B109)</f>
        <v>1116388</v>
      </c>
      <c r="C110" s="29">
        <f t="shared" si="21"/>
        <v>1139684</v>
      </c>
      <c r="D110" s="29">
        <f t="shared" si="21"/>
        <v>1571077</v>
      </c>
      <c r="E110" s="29">
        <f t="shared" si="21"/>
        <v>1570473</v>
      </c>
      <c r="F110" s="29">
        <f t="shared" si="21"/>
        <v>2090335</v>
      </c>
      <c r="G110" s="29">
        <f t="shared" si="21"/>
        <v>2018724</v>
      </c>
      <c r="H110" s="29">
        <f t="shared" si="21"/>
        <v>1850180</v>
      </c>
      <c r="I110" s="52">
        <v>1738107</v>
      </c>
      <c r="J110" s="56">
        <f>SUM(J103:J109)</f>
        <v>2037263</v>
      </c>
      <c r="K110" s="62">
        <f>SUM(K103:K109)</f>
        <v>1990908</v>
      </c>
      <c r="L110" s="59">
        <f>SUM(L103:L109)</f>
        <v>1756295</v>
      </c>
      <c r="M110" s="29">
        <f>SUM(M103:M109)</f>
        <v>1585195</v>
      </c>
      <c r="N110" s="29">
        <f t="shared" si="20"/>
        <v>20464629</v>
      </c>
      <c r="O110" s="7" t="s">
        <v>0</v>
      </c>
      <c r="Q110" s="206"/>
      <c r="R110" s="20"/>
      <c r="S110" s="20"/>
      <c r="T110" s="20"/>
      <c r="U110" s="20"/>
      <c r="V110" s="20"/>
      <c r="W110" s="22"/>
    </row>
    <row r="111" spans="1:23" x14ac:dyDescent="0.3">
      <c r="A111" s="63"/>
      <c r="B111" s="64"/>
      <c r="C111" s="64"/>
      <c r="D111" s="64"/>
      <c r="E111" s="64"/>
      <c r="F111" s="64"/>
      <c r="G111" s="64"/>
      <c r="H111" s="64"/>
      <c r="I111" s="65"/>
      <c r="J111" s="44"/>
      <c r="K111" s="44" t="s">
        <v>51</v>
      </c>
      <c r="L111" s="64">
        <f>L110-K110</f>
        <v>-234613</v>
      </c>
      <c r="M111" s="64"/>
      <c r="N111" s="64"/>
      <c r="O111" s="63"/>
      <c r="R111" s="66"/>
      <c r="S111" s="66"/>
      <c r="T111" s="66"/>
      <c r="U111" s="66"/>
      <c r="V111" s="66"/>
      <c r="W111" s="67"/>
    </row>
    <row r="112" spans="1:23" ht="25.5" x14ac:dyDescent="0.25">
      <c r="A112" s="214" t="s">
        <v>32</v>
      </c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R112" s="20"/>
      <c r="S112" s="20">
        <f>R112*R115</f>
        <v>0</v>
      </c>
      <c r="T112" s="20"/>
      <c r="U112" s="20"/>
      <c r="V112" s="20"/>
      <c r="W112" s="22"/>
    </row>
    <row r="113" spans="1:23" ht="25.5" x14ac:dyDescent="0.25">
      <c r="A113" s="68" t="s">
        <v>33</v>
      </c>
      <c r="B113" s="45">
        <v>1</v>
      </c>
      <c r="C113" s="45">
        <v>2</v>
      </c>
      <c r="D113" s="45">
        <v>3</v>
      </c>
      <c r="E113" s="45">
        <v>4</v>
      </c>
      <c r="F113" s="45">
        <v>5</v>
      </c>
      <c r="G113" s="45">
        <v>6</v>
      </c>
      <c r="H113" s="45">
        <v>7</v>
      </c>
      <c r="I113" s="45">
        <v>8</v>
      </c>
      <c r="J113" s="69">
        <v>9</v>
      </c>
      <c r="K113" s="70">
        <v>10</v>
      </c>
      <c r="L113" s="71">
        <v>11</v>
      </c>
      <c r="M113" s="45">
        <v>12</v>
      </c>
      <c r="N113" s="45" t="s">
        <v>34</v>
      </c>
      <c r="O113" s="72" t="s">
        <v>49</v>
      </c>
      <c r="R113" s="20"/>
      <c r="S113" s="20"/>
      <c r="T113" s="20"/>
      <c r="U113" s="20"/>
      <c r="V113" s="20"/>
      <c r="W113" s="22"/>
    </row>
    <row r="114" spans="1:23" ht="20.25" x14ac:dyDescent="0.3">
      <c r="A114" s="3" t="s">
        <v>1</v>
      </c>
      <c r="B114" s="31">
        <v>1184625</v>
      </c>
      <c r="C114" s="31">
        <v>1233168</v>
      </c>
      <c r="D114" s="31">
        <v>1646666</v>
      </c>
      <c r="E114" s="35">
        <v>1622817</v>
      </c>
      <c r="F114" s="36">
        <v>2762691</v>
      </c>
      <c r="G114" s="23">
        <v>2844966</v>
      </c>
      <c r="H114" s="31">
        <v>2577871</v>
      </c>
      <c r="I114" s="51">
        <v>2627033</v>
      </c>
      <c r="J114" s="55">
        <v>2929560</v>
      </c>
      <c r="K114" s="61">
        <v>2436373</v>
      </c>
      <c r="L114" s="58">
        <v>1826176</v>
      </c>
      <c r="M114" s="24">
        <v>1608639</v>
      </c>
      <c r="N114" s="28">
        <f t="shared" ref="N114:N121" si="22">SUM(B114:M114)</f>
        <v>25300585</v>
      </c>
      <c r="O114" s="5" t="s">
        <v>1</v>
      </c>
      <c r="Q114" s="206"/>
      <c r="R114" s="20"/>
      <c r="S114" s="20"/>
      <c r="T114" s="20"/>
      <c r="U114" s="20"/>
      <c r="V114" s="20"/>
      <c r="W114" s="22"/>
    </row>
    <row r="115" spans="1:23" ht="20.25" x14ac:dyDescent="0.3">
      <c r="A115" s="3" t="s">
        <v>2</v>
      </c>
      <c r="B115" s="31">
        <v>585749</v>
      </c>
      <c r="C115" s="31">
        <v>656793</v>
      </c>
      <c r="D115" s="31">
        <v>864275</v>
      </c>
      <c r="E115" s="35">
        <v>817910</v>
      </c>
      <c r="F115" s="36">
        <v>1448484</v>
      </c>
      <c r="G115" s="23">
        <v>1592465</v>
      </c>
      <c r="H115" s="31">
        <v>1368230</v>
      </c>
      <c r="I115" s="51">
        <v>1286512</v>
      </c>
      <c r="J115" s="55">
        <v>1565153</v>
      </c>
      <c r="K115" s="61">
        <v>1280615</v>
      </c>
      <c r="L115" s="58">
        <v>977854</v>
      </c>
      <c r="M115" s="24">
        <v>869575</v>
      </c>
      <c r="N115" s="28">
        <f t="shared" si="22"/>
        <v>13313615</v>
      </c>
      <c r="O115" s="5" t="s">
        <v>2</v>
      </c>
      <c r="Q115" s="206"/>
      <c r="R115" s="201"/>
      <c r="S115" s="20"/>
      <c r="T115" s="20"/>
      <c r="U115" s="20"/>
      <c r="V115" s="20"/>
      <c r="W115" s="22"/>
    </row>
    <row r="116" spans="1:23" ht="20.25" x14ac:dyDescent="0.3">
      <c r="A116" s="3" t="s">
        <v>3</v>
      </c>
      <c r="B116" s="31">
        <v>786549</v>
      </c>
      <c r="C116" s="31">
        <v>817259</v>
      </c>
      <c r="D116" s="31">
        <v>1041300</v>
      </c>
      <c r="E116" s="35">
        <v>1179637</v>
      </c>
      <c r="F116" s="41">
        <v>1841003</v>
      </c>
      <c r="G116" s="25">
        <v>2160439</v>
      </c>
      <c r="H116" s="31">
        <v>2443084</v>
      </c>
      <c r="I116" s="51">
        <v>2237582</v>
      </c>
      <c r="J116" s="55">
        <v>2071030</v>
      </c>
      <c r="K116" s="61">
        <v>1691758</v>
      </c>
      <c r="L116" s="58">
        <v>1339978</v>
      </c>
      <c r="M116" s="24">
        <v>1196040</v>
      </c>
      <c r="N116" s="28">
        <f t="shared" si="22"/>
        <v>18805659</v>
      </c>
      <c r="O116" s="5" t="s">
        <v>3</v>
      </c>
      <c r="Q116" s="206"/>
      <c r="R116" s="200"/>
      <c r="S116" s="20"/>
      <c r="T116" s="20"/>
      <c r="U116" s="20"/>
      <c r="V116" s="20"/>
      <c r="W116" s="22"/>
    </row>
    <row r="117" spans="1:23" ht="20.25" x14ac:dyDescent="0.3">
      <c r="A117" s="3" t="s">
        <v>4</v>
      </c>
      <c r="B117" s="31">
        <v>413461</v>
      </c>
      <c r="C117" s="31">
        <v>481762</v>
      </c>
      <c r="D117" s="31">
        <v>590228</v>
      </c>
      <c r="E117" s="35">
        <v>613939</v>
      </c>
      <c r="F117" s="42">
        <v>872952</v>
      </c>
      <c r="G117" s="23">
        <v>841393</v>
      </c>
      <c r="H117" s="31">
        <v>529883</v>
      </c>
      <c r="I117" s="51">
        <v>474007</v>
      </c>
      <c r="J117" s="55">
        <v>845015</v>
      </c>
      <c r="K117" s="61">
        <v>773482</v>
      </c>
      <c r="L117" s="58">
        <v>668213</v>
      </c>
      <c r="M117" s="24">
        <v>710709</v>
      </c>
      <c r="N117" s="28">
        <f t="shared" si="22"/>
        <v>7815044</v>
      </c>
      <c r="O117" s="5" t="s">
        <v>4</v>
      </c>
      <c r="Q117" s="206"/>
      <c r="R117" s="201"/>
      <c r="S117" s="20"/>
      <c r="T117" s="20"/>
      <c r="U117" s="20"/>
      <c r="V117" s="20"/>
      <c r="W117" s="22"/>
    </row>
    <row r="118" spans="1:23" ht="20.25" x14ac:dyDescent="0.3">
      <c r="A118" s="3" t="s">
        <v>5</v>
      </c>
      <c r="B118" s="31">
        <v>321897</v>
      </c>
      <c r="C118" s="31">
        <v>335374</v>
      </c>
      <c r="D118" s="31">
        <v>479051</v>
      </c>
      <c r="E118" s="35">
        <v>497834</v>
      </c>
      <c r="F118" s="36">
        <v>722646</v>
      </c>
      <c r="G118" s="23">
        <v>711493</v>
      </c>
      <c r="H118" s="31">
        <v>312465</v>
      </c>
      <c r="I118" s="51">
        <v>338489</v>
      </c>
      <c r="J118" s="55">
        <v>816642</v>
      </c>
      <c r="K118" s="61">
        <v>735808</v>
      </c>
      <c r="L118" s="58">
        <v>594137</v>
      </c>
      <c r="M118" s="24">
        <v>529200</v>
      </c>
      <c r="N118" s="28">
        <f t="shared" si="22"/>
        <v>6395036</v>
      </c>
      <c r="O118" s="5" t="s">
        <v>5</v>
      </c>
      <c r="Q118" s="206"/>
      <c r="R118" s="20"/>
      <c r="S118" s="20"/>
      <c r="T118" s="20"/>
      <c r="U118" s="20"/>
      <c r="V118" s="20"/>
      <c r="W118" s="22"/>
    </row>
    <row r="119" spans="1:23" ht="20.25" x14ac:dyDescent="0.3">
      <c r="A119" s="3" t="s">
        <v>6</v>
      </c>
      <c r="B119" s="31">
        <v>117495</v>
      </c>
      <c r="C119" s="31">
        <v>126532</v>
      </c>
      <c r="D119" s="31">
        <v>146833</v>
      </c>
      <c r="E119" s="35">
        <v>148930</v>
      </c>
      <c r="F119" s="36">
        <v>216473</v>
      </c>
      <c r="G119" s="23">
        <v>267741</v>
      </c>
      <c r="H119" s="31">
        <v>303684</v>
      </c>
      <c r="I119" s="51">
        <v>260952</v>
      </c>
      <c r="J119" s="55">
        <v>237356</v>
      </c>
      <c r="K119" s="61">
        <v>201425</v>
      </c>
      <c r="L119" s="58">
        <v>176232</v>
      </c>
      <c r="M119" s="24">
        <v>152241</v>
      </c>
      <c r="N119" s="28">
        <f t="shared" si="22"/>
        <v>2355894</v>
      </c>
      <c r="O119" s="5" t="s">
        <v>6</v>
      </c>
      <c r="Q119" s="206"/>
      <c r="R119" s="203"/>
      <c r="S119" s="20"/>
      <c r="T119" s="20"/>
      <c r="U119" s="20"/>
      <c r="V119" s="20"/>
      <c r="W119" s="22"/>
    </row>
    <row r="120" spans="1:23" ht="20.25" x14ac:dyDescent="0.3">
      <c r="A120" s="3" t="s">
        <v>7</v>
      </c>
      <c r="B120" s="31">
        <v>33198</v>
      </c>
      <c r="C120" s="31">
        <v>13763</v>
      </c>
      <c r="D120" s="31">
        <v>28688</v>
      </c>
      <c r="E120" s="35">
        <v>29857</v>
      </c>
      <c r="F120" s="36">
        <v>30596</v>
      </c>
      <c r="G120" s="23">
        <v>34582</v>
      </c>
      <c r="H120" s="31">
        <v>44635</v>
      </c>
      <c r="I120" s="51">
        <v>39116</v>
      </c>
      <c r="J120" s="55">
        <v>40823</v>
      </c>
      <c r="K120" s="61">
        <v>39548</v>
      </c>
      <c r="L120" s="58">
        <v>34381</v>
      </c>
      <c r="M120" s="24">
        <v>31052</v>
      </c>
      <c r="N120" s="28">
        <f t="shared" si="22"/>
        <v>400239</v>
      </c>
      <c r="O120" s="5" t="s">
        <v>7</v>
      </c>
      <c r="Q120" s="206"/>
      <c r="R120" s="202"/>
      <c r="S120" s="20"/>
      <c r="T120" s="20"/>
      <c r="U120" s="20"/>
      <c r="V120" s="20"/>
      <c r="W120" s="22"/>
    </row>
    <row r="121" spans="1:23" thickBot="1" x14ac:dyDescent="0.35">
      <c r="A121" s="6" t="s">
        <v>0</v>
      </c>
      <c r="B121" s="29">
        <f t="shared" ref="B121:G121" si="23">SUM(B114:B120)</f>
        <v>3442974</v>
      </c>
      <c r="C121" s="29">
        <f t="shared" si="23"/>
        <v>3664651</v>
      </c>
      <c r="D121" s="29">
        <f t="shared" si="23"/>
        <v>4797041</v>
      </c>
      <c r="E121" s="29">
        <f t="shared" si="23"/>
        <v>4910924</v>
      </c>
      <c r="F121" s="29">
        <f t="shared" si="23"/>
        <v>7894845</v>
      </c>
      <c r="G121" s="29">
        <f t="shared" si="23"/>
        <v>8453079</v>
      </c>
      <c r="H121" s="29">
        <f t="shared" ref="H121:M121" si="24">SUM(H114:H120)</f>
        <v>7579852</v>
      </c>
      <c r="I121" s="52">
        <v>7263691</v>
      </c>
      <c r="J121" s="56">
        <f t="shared" si="24"/>
        <v>8505579</v>
      </c>
      <c r="K121" s="62">
        <f t="shared" si="24"/>
        <v>7159009</v>
      </c>
      <c r="L121" s="59">
        <f t="shared" si="24"/>
        <v>5616971</v>
      </c>
      <c r="M121" s="29">
        <f t="shared" si="24"/>
        <v>5097456</v>
      </c>
      <c r="N121" s="29">
        <f t="shared" si="22"/>
        <v>74386072</v>
      </c>
      <c r="O121" s="7" t="s">
        <v>0</v>
      </c>
      <c r="Q121" s="206"/>
      <c r="R121" s="20"/>
      <c r="S121" s="20"/>
      <c r="T121" s="20"/>
      <c r="U121" s="20"/>
      <c r="V121" s="20"/>
      <c r="W121" s="22"/>
    </row>
    <row r="122" spans="1:23" x14ac:dyDescent="0.25">
      <c r="H122" s="44"/>
      <c r="I122" s="44"/>
      <c r="J122" s="44"/>
      <c r="K122" s="44" t="s">
        <v>51</v>
      </c>
      <c r="L122" s="44">
        <f>L121-K121</f>
        <v>-1542038</v>
      </c>
    </row>
    <row r="123" spans="1:23" x14ac:dyDescent="0.25">
      <c r="H123" s="44"/>
      <c r="I123" s="44"/>
      <c r="J123" s="44"/>
      <c r="K123" s="44"/>
      <c r="L123" s="44"/>
    </row>
    <row r="124" spans="1:23" ht="26.25" thickBot="1" x14ac:dyDescent="0.3">
      <c r="A124" s="208" t="s">
        <v>56</v>
      </c>
      <c r="B124" s="208"/>
      <c r="C124" s="208"/>
      <c r="D124" s="208"/>
      <c r="E124" s="208"/>
      <c r="F124" s="208"/>
      <c r="G124" s="208"/>
      <c r="H124" s="208"/>
      <c r="I124" s="208"/>
      <c r="J124" s="208"/>
      <c r="K124" s="213"/>
      <c r="L124" s="208"/>
      <c r="M124" s="208"/>
      <c r="N124" s="208"/>
      <c r="O124" s="208"/>
    </row>
    <row r="125" spans="1:23" ht="26.25" thickTop="1" x14ac:dyDescent="0.25">
      <c r="A125" s="13" t="s">
        <v>58</v>
      </c>
      <c r="B125" s="27">
        <v>1</v>
      </c>
      <c r="C125" s="27">
        <v>2</v>
      </c>
      <c r="D125" s="27">
        <v>3</v>
      </c>
      <c r="E125" s="27">
        <v>4</v>
      </c>
      <c r="F125" s="27">
        <v>5</v>
      </c>
      <c r="G125" s="27">
        <v>6</v>
      </c>
      <c r="H125" s="27">
        <v>7</v>
      </c>
      <c r="I125" s="27">
        <v>8</v>
      </c>
      <c r="J125" s="54">
        <v>9</v>
      </c>
      <c r="K125" s="27">
        <v>10</v>
      </c>
      <c r="L125" s="57">
        <v>11</v>
      </c>
      <c r="M125" s="27">
        <v>12</v>
      </c>
      <c r="N125" s="27" t="s">
        <v>34</v>
      </c>
      <c r="O125" s="10" t="s">
        <v>49</v>
      </c>
    </row>
    <row r="126" spans="1:23" ht="20.25" x14ac:dyDescent="0.3">
      <c r="A126" s="3" t="s">
        <v>1</v>
      </c>
      <c r="B126" s="31">
        <v>414400</v>
      </c>
      <c r="C126" s="31">
        <v>364800</v>
      </c>
      <c r="D126" s="31">
        <v>547200</v>
      </c>
      <c r="E126" s="35">
        <v>690400</v>
      </c>
      <c r="F126" s="35">
        <v>810400</v>
      </c>
      <c r="G126" s="23">
        <v>749600</v>
      </c>
      <c r="H126" s="31">
        <v>702400</v>
      </c>
      <c r="I126" s="50">
        <v>717600</v>
      </c>
      <c r="J126" s="55">
        <v>831200</v>
      </c>
      <c r="K126" s="61">
        <v>758400</v>
      </c>
      <c r="L126" s="58"/>
      <c r="M126" s="24"/>
      <c r="N126" s="28">
        <f t="shared" ref="N126:N133" si="25">SUM(B126:M126)</f>
        <v>6586400</v>
      </c>
      <c r="O126" s="5" t="s">
        <v>1</v>
      </c>
      <c r="Q126" s="206"/>
    </row>
    <row r="127" spans="1:23" ht="20.25" x14ac:dyDescent="0.3">
      <c r="A127" s="3" t="s">
        <v>2</v>
      </c>
      <c r="B127" s="31">
        <v>245800</v>
      </c>
      <c r="C127" s="31">
        <v>184600</v>
      </c>
      <c r="D127" s="31">
        <v>277200</v>
      </c>
      <c r="E127" s="35">
        <v>329800</v>
      </c>
      <c r="F127" s="35">
        <v>375000</v>
      </c>
      <c r="G127" s="23">
        <v>353600</v>
      </c>
      <c r="H127" s="31">
        <v>329000</v>
      </c>
      <c r="I127" s="50">
        <v>321600</v>
      </c>
      <c r="J127" s="55">
        <v>391200</v>
      </c>
      <c r="K127" s="61">
        <v>371600</v>
      </c>
      <c r="L127" s="58"/>
      <c r="M127" s="24"/>
      <c r="N127" s="28">
        <f t="shared" si="25"/>
        <v>3179400</v>
      </c>
      <c r="O127" s="5" t="s">
        <v>2</v>
      </c>
      <c r="Q127" s="206"/>
    </row>
    <row r="128" spans="1:23" ht="20.25" x14ac:dyDescent="0.3">
      <c r="A128" s="3" t="s">
        <v>3</v>
      </c>
      <c r="B128" s="31">
        <v>309632</v>
      </c>
      <c r="C128" s="31">
        <v>269294</v>
      </c>
      <c r="D128" s="31">
        <v>355418</v>
      </c>
      <c r="E128" s="35">
        <v>396319</v>
      </c>
      <c r="F128" s="35">
        <v>440203</v>
      </c>
      <c r="G128" s="23">
        <v>437952</v>
      </c>
      <c r="H128" s="31">
        <v>523810</v>
      </c>
      <c r="I128" s="50">
        <v>507973</v>
      </c>
      <c r="J128" s="55">
        <v>503396</v>
      </c>
      <c r="K128" s="61">
        <v>473231</v>
      </c>
      <c r="L128" s="58"/>
      <c r="M128" s="24"/>
      <c r="N128" s="28">
        <f t="shared" si="25"/>
        <v>4217228</v>
      </c>
      <c r="O128" s="5" t="s">
        <v>3</v>
      </c>
      <c r="Q128" s="206"/>
    </row>
    <row r="129" spans="1:17" ht="20.25" x14ac:dyDescent="0.3">
      <c r="A129" s="3" t="s">
        <v>4</v>
      </c>
      <c r="B129" s="31">
        <v>142640</v>
      </c>
      <c r="C129" s="31">
        <v>125200</v>
      </c>
      <c r="D129" s="31">
        <v>203440</v>
      </c>
      <c r="E129" s="35">
        <v>211680</v>
      </c>
      <c r="F129" s="35">
        <v>223760</v>
      </c>
      <c r="G129" s="23">
        <v>198240</v>
      </c>
      <c r="H129" s="31">
        <v>96160</v>
      </c>
      <c r="I129" s="50">
        <v>85680</v>
      </c>
      <c r="J129" s="55">
        <v>208880</v>
      </c>
      <c r="K129" s="61">
        <v>217440</v>
      </c>
      <c r="L129" s="58"/>
      <c r="M129" s="24"/>
      <c r="N129" s="28">
        <f t="shared" si="25"/>
        <v>1713120</v>
      </c>
      <c r="O129" s="5" t="s">
        <v>4</v>
      </c>
      <c r="Q129" s="206"/>
    </row>
    <row r="130" spans="1:17" ht="20.25" x14ac:dyDescent="0.3">
      <c r="A130" s="3" t="s">
        <v>5</v>
      </c>
      <c r="B130" s="31">
        <v>117800</v>
      </c>
      <c r="C130" s="31">
        <v>105300</v>
      </c>
      <c r="D130" s="31">
        <v>161600</v>
      </c>
      <c r="E130" s="35">
        <v>177200</v>
      </c>
      <c r="F130" s="35">
        <v>183900</v>
      </c>
      <c r="G130" s="23">
        <v>161800</v>
      </c>
      <c r="H130" s="31">
        <v>86800</v>
      </c>
      <c r="I130" s="50">
        <v>83900</v>
      </c>
      <c r="J130" s="55">
        <v>195600</v>
      </c>
      <c r="K130" s="61">
        <v>195600</v>
      </c>
      <c r="L130" s="58"/>
      <c r="M130" s="24"/>
      <c r="N130" s="28">
        <f t="shared" si="25"/>
        <v>1469500</v>
      </c>
      <c r="O130" s="5" t="s">
        <v>5</v>
      </c>
      <c r="Q130" s="206"/>
    </row>
    <row r="131" spans="1:17" ht="20.25" x14ac:dyDescent="0.3">
      <c r="A131" s="3" t="s">
        <v>6</v>
      </c>
      <c r="B131" s="31">
        <v>37040</v>
      </c>
      <c r="C131" s="31">
        <v>32960</v>
      </c>
      <c r="D131" s="31">
        <v>45840</v>
      </c>
      <c r="E131" s="35">
        <v>52400</v>
      </c>
      <c r="F131" s="35">
        <v>58560</v>
      </c>
      <c r="G131" s="23">
        <v>60720</v>
      </c>
      <c r="H131" s="31">
        <v>82320</v>
      </c>
      <c r="I131" s="50">
        <v>77360</v>
      </c>
      <c r="J131" s="55">
        <v>71840</v>
      </c>
      <c r="K131" s="61">
        <v>62480</v>
      </c>
      <c r="L131" s="58"/>
      <c r="M131" s="24"/>
      <c r="N131" s="28">
        <f t="shared" si="25"/>
        <v>581520</v>
      </c>
      <c r="O131" s="5" t="s">
        <v>6</v>
      </c>
      <c r="Q131" s="206"/>
    </row>
    <row r="132" spans="1:17" ht="20.25" x14ac:dyDescent="0.3">
      <c r="A132" s="3" t="s">
        <v>7</v>
      </c>
      <c r="B132" s="31">
        <v>9878</v>
      </c>
      <c r="C132" s="31">
        <v>10584</v>
      </c>
      <c r="D132" s="31">
        <v>7762</v>
      </c>
      <c r="E132" s="35">
        <v>9878</v>
      </c>
      <c r="F132" s="35">
        <v>12701</v>
      </c>
      <c r="G132" s="23">
        <v>9878</v>
      </c>
      <c r="H132" s="31">
        <v>11995</v>
      </c>
      <c r="I132" s="50">
        <v>13406</v>
      </c>
      <c r="J132" s="55">
        <v>13406</v>
      </c>
      <c r="K132" s="61">
        <v>11995</v>
      </c>
      <c r="L132" s="58"/>
      <c r="M132" s="24"/>
      <c r="N132" s="28">
        <f t="shared" si="25"/>
        <v>111483</v>
      </c>
      <c r="O132" s="5" t="s">
        <v>7</v>
      </c>
      <c r="Q132" s="206"/>
    </row>
    <row r="133" spans="1:17" ht="20.25" x14ac:dyDescent="0.25">
      <c r="A133" s="6" t="s">
        <v>0</v>
      </c>
      <c r="B133" s="29">
        <f t="shared" ref="B133:J133" si="26">SUM(B126:B132)</f>
        <v>1277190</v>
      </c>
      <c r="C133" s="29">
        <f t="shared" si="26"/>
        <v>1092738</v>
      </c>
      <c r="D133" s="29">
        <f t="shared" si="26"/>
        <v>1598460</v>
      </c>
      <c r="E133" s="29">
        <f t="shared" si="26"/>
        <v>1867677</v>
      </c>
      <c r="F133" s="29">
        <f t="shared" si="26"/>
        <v>2104524</v>
      </c>
      <c r="G133" s="29">
        <f t="shared" si="26"/>
        <v>1971790</v>
      </c>
      <c r="H133" s="29">
        <f t="shared" si="26"/>
        <v>1832485</v>
      </c>
      <c r="I133" s="29">
        <f t="shared" si="26"/>
        <v>1807519</v>
      </c>
      <c r="J133" s="56">
        <f t="shared" si="26"/>
        <v>2215522</v>
      </c>
      <c r="K133" s="29">
        <f t="shared" ref="K133" si="27">SUM(K126:K132)</f>
        <v>2090746</v>
      </c>
      <c r="L133" s="59">
        <f>SUM(L126:L132)</f>
        <v>0</v>
      </c>
      <c r="M133" s="29">
        <f>SUM(M126:M132)</f>
        <v>0</v>
      </c>
      <c r="N133" s="29">
        <f t="shared" si="25"/>
        <v>17858651</v>
      </c>
      <c r="O133" s="7" t="s">
        <v>0</v>
      </c>
      <c r="Q133" s="206"/>
    </row>
    <row r="134" spans="1:17" x14ac:dyDescent="0.3">
      <c r="A134" s="63"/>
      <c r="B134" s="64"/>
      <c r="C134" s="64"/>
      <c r="D134" s="64"/>
      <c r="E134" s="64"/>
      <c r="F134" s="64"/>
      <c r="G134" s="64"/>
      <c r="H134" s="64"/>
      <c r="I134" s="65"/>
      <c r="J134" s="44"/>
      <c r="K134" s="44"/>
      <c r="L134" s="64">
        <f>L133-K133</f>
        <v>-2090746</v>
      </c>
      <c r="M134" s="64"/>
      <c r="N134" s="64"/>
      <c r="O134" s="63"/>
    </row>
    <row r="135" spans="1:17" ht="25.5" x14ac:dyDescent="0.25">
      <c r="A135" s="214" t="s">
        <v>57</v>
      </c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</row>
    <row r="136" spans="1:17" ht="25.5" x14ac:dyDescent="0.25">
      <c r="A136" s="68" t="s">
        <v>58</v>
      </c>
      <c r="B136" s="45">
        <v>1</v>
      </c>
      <c r="C136" s="45">
        <v>2</v>
      </c>
      <c r="D136" s="45">
        <v>3</v>
      </c>
      <c r="E136" s="45">
        <v>4</v>
      </c>
      <c r="F136" s="45">
        <v>5</v>
      </c>
      <c r="G136" s="45">
        <v>6</v>
      </c>
      <c r="H136" s="45">
        <v>7</v>
      </c>
      <c r="I136" s="45">
        <v>8</v>
      </c>
      <c r="J136" s="69">
        <v>9</v>
      </c>
      <c r="K136" s="45">
        <v>10</v>
      </c>
      <c r="L136" s="71">
        <v>11</v>
      </c>
      <c r="M136" s="45">
        <v>12</v>
      </c>
      <c r="N136" s="45" t="s">
        <v>34</v>
      </c>
      <c r="O136" s="72" t="s">
        <v>49</v>
      </c>
    </row>
    <row r="137" spans="1:17" ht="20.25" x14ac:dyDescent="0.3">
      <c r="A137" s="3" t="s">
        <v>1</v>
      </c>
      <c r="B137" s="31">
        <v>1321009</v>
      </c>
      <c r="C137" s="31">
        <v>1153157</v>
      </c>
      <c r="D137" s="31">
        <v>1636505</v>
      </c>
      <c r="E137" s="35">
        <v>2028981</v>
      </c>
      <c r="F137" s="35">
        <v>2739169</v>
      </c>
      <c r="G137" s="23">
        <v>2756556</v>
      </c>
      <c r="H137" s="31">
        <v>2692398</v>
      </c>
      <c r="I137" s="51">
        <v>2711689</v>
      </c>
      <c r="J137" s="55">
        <v>3367115</v>
      </c>
      <c r="K137" s="51">
        <v>2669503</v>
      </c>
      <c r="L137" s="58"/>
      <c r="M137" s="24"/>
      <c r="N137" s="28">
        <f>SUM(B137:M137)</f>
        <v>23076082</v>
      </c>
      <c r="O137" s="5" t="s">
        <v>1</v>
      </c>
      <c r="Q137" s="206"/>
    </row>
    <row r="138" spans="1:17" ht="20.25" x14ac:dyDescent="0.3">
      <c r="A138" s="3" t="s">
        <v>2</v>
      </c>
      <c r="B138" s="31">
        <v>751960</v>
      </c>
      <c r="C138" s="31">
        <v>575640</v>
      </c>
      <c r="D138" s="31">
        <v>824920</v>
      </c>
      <c r="E138" s="35">
        <v>1005092</v>
      </c>
      <c r="F138" s="35">
        <v>1296347</v>
      </c>
      <c r="G138" s="23">
        <v>1378884</v>
      </c>
      <c r="H138" s="31">
        <v>1325574</v>
      </c>
      <c r="I138" s="51">
        <v>1254867</v>
      </c>
      <c r="J138" s="55">
        <v>1600559</v>
      </c>
      <c r="K138" s="51">
        <v>1330464</v>
      </c>
      <c r="L138" s="58"/>
      <c r="M138" s="24"/>
      <c r="N138" s="28">
        <f t="shared" ref="N138:N143" si="28">SUM(B138:M138)</f>
        <v>11344307</v>
      </c>
      <c r="O138" s="5" t="s">
        <v>2</v>
      </c>
      <c r="Q138" s="206"/>
    </row>
    <row r="139" spans="1:17" ht="20.25" x14ac:dyDescent="0.3">
      <c r="A139" s="3" t="s">
        <v>3</v>
      </c>
      <c r="B139" s="31">
        <v>1113032</v>
      </c>
      <c r="C139" s="31">
        <v>935976</v>
      </c>
      <c r="D139" s="31">
        <v>1225235</v>
      </c>
      <c r="E139" s="35">
        <v>1532289</v>
      </c>
      <c r="F139" s="86">
        <v>1980838</v>
      </c>
      <c r="G139" s="25">
        <v>2135753</v>
      </c>
      <c r="H139" s="31">
        <v>2723983</v>
      </c>
      <c r="I139" s="51">
        <v>2531165</v>
      </c>
      <c r="J139" s="55">
        <v>2541395</v>
      </c>
      <c r="K139" s="51">
        <v>2185054</v>
      </c>
      <c r="L139" s="58"/>
      <c r="M139" s="24"/>
      <c r="N139" s="28">
        <f t="shared" si="28"/>
        <v>18904720</v>
      </c>
      <c r="O139" s="5" t="s">
        <v>3</v>
      </c>
      <c r="Q139" s="206"/>
    </row>
    <row r="140" spans="1:17" ht="20.25" x14ac:dyDescent="0.3">
      <c r="A140" s="3" t="s">
        <v>4</v>
      </c>
      <c r="B140" s="31">
        <v>499572</v>
      </c>
      <c r="C140" s="31">
        <v>451278</v>
      </c>
      <c r="D140" s="31">
        <v>682585</v>
      </c>
      <c r="E140" s="35">
        <v>807435</v>
      </c>
      <c r="F140" s="87">
        <v>956575</v>
      </c>
      <c r="G140" s="23">
        <v>905162</v>
      </c>
      <c r="H140" s="31">
        <v>537713</v>
      </c>
      <c r="I140" s="51">
        <v>482682</v>
      </c>
      <c r="J140" s="55">
        <v>1013399</v>
      </c>
      <c r="K140" s="51">
        <v>979711</v>
      </c>
      <c r="L140" s="58"/>
      <c r="M140" s="24"/>
      <c r="N140" s="28">
        <f t="shared" si="28"/>
        <v>7316112</v>
      </c>
      <c r="O140" s="5" t="s">
        <v>4</v>
      </c>
      <c r="Q140" s="206"/>
    </row>
    <row r="141" spans="1:17" ht="20.25" x14ac:dyDescent="0.3">
      <c r="A141" s="3" t="s">
        <v>5</v>
      </c>
      <c r="B141" s="31">
        <v>393469</v>
      </c>
      <c r="C141" s="31">
        <v>353563</v>
      </c>
      <c r="D141" s="31">
        <v>528833</v>
      </c>
      <c r="E141" s="35">
        <v>666088</v>
      </c>
      <c r="F141" s="35">
        <v>775486</v>
      </c>
      <c r="G141" s="23">
        <v>750715</v>
      </c>
      <c r="H141" s="31">
        <v>452922</v>
      </c>
      <c r="I141" s="51">
        <v>429480</v>
      </c>
      <c r="J141" s="55">
        <v>943259</v>
      </c>
      <c r="K141" s="51">
        <v>870906</v>
      </c>
      <c r="L141" s="58"/>
      <c r="M141" s="24"/>
      <c r="N141" s="28">
        <f t="shared" si="28"/>
        <v>6164721</v>
      </c>
      <c r="O141" s="5" t="s">
        <v>5</v>
      </c>
      <c r="Q141" s="206"/>
    </row>
    <row r="142" spans="1:17" ht="20.25" x14ac:dyDescent="0.3">
      <c r="A142" s="3" t="s">
        <v>6</v>
      </c>
      <c r="B142" s="31">
        <v>145294</v>
      </c>
      <c r="C142" s="31">
        <v>126859</v>
      </c>
      <c r="D142" s="31">
        <v>162110</v>
      </c>
      <c r="E142" s="35">
        <v>183226</v>
      </c>
      <c r="F142" s="35">
        <v>214709</v>
      </c>
      <c r="G142" s="23">
        <v>248852</v>
      </c>
      <c r="H142" s="31">
        <v>347922</v>
      </c>
      <c r="I142" s="51">
        <v>283018</v>
      </c>
      <c r="J142" s="55">
        <v>308900</v>
      </c>
      <c r="K142" s="51">
        <v>219819</v>
      </c>
      <c r="L142" s="58"/>
      <c r="M142" s="24"/>
      <c r="N142" s="28">
        <f t="shared" si="28"/>
        <v>2240709</v>
      </c>
      <c r="O142" s="5" t="s">
        <v>6</v>
      </c>
      <c r="Q142" s="206"/>
    </row>
    <row r="143" spans="1:17" ht="20.25" x14ac:dyDescent="0.3">
      <c r="A143" s="3" t="s">
        <v>7</v>
      </c>
      <c r="B143" s="31">
        <v>31028</v>
      </c>
      <c r="C143" s="31">
        <v>31675</v>
      </c>
      <c r="D143" s="31">
        <v>26421</v>
      </c>
      <c r="E143" s="35">
        <v>31058</v>
      </c>
      <c r="F143" s="35">
        <v>37748</v>
      </c>
      <c r="G143" s="23">
        <v>33554</v>
      </c>
      <c r="H143" s="31">
        <v>43986</v>
      </c>
      <c r="I143" s="51">
        <v>47866</v>
      </c>
      <c r="J143" s="55">
        <v>48801</v>
      </c>
      <c r="K143" s="51">
        <v>39064</v>
      </c>
      <c r="L143" s="58"/>
      <c r="M143" s="24"/>
      <c r="N143" s="28">
        <f t="shared" si="28"/>
        <v>371201</v>
      </c>
      <c r="O143" s="5" t="s">
        <v>7</v>
      </c>
      <c r="Q143" s="206"/>
    </row>
    <row r="144" spans="1:17" ht="20.25" x14ac:dyDescent="0.25">
      <c r="A144" s="6" t="s">
        <v>0</v>
      </c>
      <c r="B144" s="29">
        <f t="shared" ref="B144:J144" si="29">SUM(B137:B143)</f>
        <v>4255364</v>
      </c>
      <c r="C144" s="29">
        <f t="shared" si="29"/>
        <v>3628148</v>
      </c>
      <c r="D144" s="29">
        <f t="shared" si="29"/>
        <v>5086609</v>
      </c>
      <c r="E144" s="29">
        <f>SUM(E137:E143)</f>
        <v>6254169</v>
      </c>
      <c r="F144" s="29">
        <f>SUM(F137:F143)</f>
        <v>8000872</v>
      </c>
      <c r="G144" s="29">
        <f>SUM(G137:G143)</f>
        <v>8209476</v>
      </c>
      <c r="H144" s="29">
        <f t="shared" si="29"/>
        <v>8124498</v>
      </c>
      <c r="I144" s="29">
        <f t="shared" si="29"/>
        <v>7740767</v>
      </c>
      <c r="J144" s="29">
        <f t="shared" si="29"/>
        <v>9823428</v>
      </c>
      <c r="K144" s="29">
        <f t="shared" ref="K144" si="30">SUM(K137:K143)</f>
        <v>8294521</v>
      </c>
      <c r="L144" s="59">
        <f t="shared" ref="L144:M144" si="31">SUM(L137:L143)</f>
        <v>0</v>
      </c>
      <c r="M144" s="29">
        <f t="shared" si="31"/>
        <v>0</v>
      </c>
      <c r="N144" s="29">
        <f>SUM(N137:N143)</f>
        <v>69417852</v>
      </c>
      <c r="O144" s="7" t="s">
        <v>0</v>
      </c>
      <c r="Q144" s="206"/>
    </row>
    <row r="145" spans="8:12" x14ac:dyDescent="0.25">
      <c r="H145" s="44"/>
      <c r="I145" s="44"/>
      <c r="J145" s="44"/>
      <c r="K145" s="44"/>
      <c r="L145" s="44"/>
    </row>
    <row r="146" spans="8:12" x14ac:dyDescent="0.25">
      <c r="H146" s="44"/>
      <c r="I146" s="44"/>
      <c r="J146" s="44"/>
      <c r="K146" s="44"/>
      <c r="L146" s="44"/>
    </row>
    <row r="147" spans="8:12" x14ac:dyDescent="0.25">
      <c r="H147" s="44"/>
      <c r="I147" s="44"/>
      <c r="J147" s="44"/>
      <c r="K147" s="44"/>
      <c r="L147" s="44"/>
    </row>
    <row r="148" spans="8:12" x14ac:dyDescent="0.25">
      <c r="H148" s="44"/>
      <c r="I148" s="44"/>
      <c r="J148" s="44"/>
      <c r="K148" s="44"/>
      <c r="L148" s="44"/>
    </row>
    <row r="149" spans="8:12" x14ac:dyDescent="0.25">
      <c r="H149" s="44"/>
      <c r="I149" s="44"/>
      <c r="J149" s="44"/>
      <c r="K149" s="44"/>
      <c r="L149" s="44"/>
    </row>
    <row r="150" spans="8:12" x14ac:dyDescent="0.25">
      <c r="H150" s="44"/>
      <c r="I150" s="44"/>
      <c r="J150" s="44"/>
      <c r="K150" s="44"/>
      <c r="L150" s="44"/>
    </row>
    <row r="151" spans="8:12" x14ac:dyDescent="0.25">
      <c r="H151" s="44"/>
      <c r="I151" s="44"/>
      <c r="J151" s="44"/>
      <c r="K151" s="44"/>
      <c r="L151" s="44"/>
    </row>
    <row r="152" spans="8:12" x14ac:dyDescent="0.25">
      <c r="H152" s="44"/>
      <c r="I152" s="44"/>
      <c r="J152" s="44"/>
      <c r="K152" s="44"/>
      <c r="L152" s="44"/>
    </row>
    <row r="153" spans="8:12" x14ac:dyDescent="0.25">
      <c r="H153" s="44"/>
      <c r="I153" s="44"/>
      <c r="J153" s="44"/>
      <c r="K153" s="44"/>
      <c r="L153" s="44"/>
    </row>
    <row r="154" spans="8:12" x14ac:dyDescent="0.25">
      <c r="H154" s="44"/>
      <c r="I154" s="44"/>
      <c r="J154" s="44"/>
      <c r="K154" s="44"/>
      <c r="L154" s="44"/>
    </row>
    <row r="155" spans="8:12" x14ac:dyDescent="0.25">
      <c r="H155" s="44"/>
      <c r="I155" s="44"/>
      <c r="J155" s="44"/>
      <c r="K155" s="44"/>
      <c r="L155" s="44"/>
    </row>
    <row r="156" spans="8:12" x14ac:dyDescent="0.25">
      <c r="H156" s="44"/>
      <c r="I156" s="44"/>
      <c r="J156" s="44"/>
      <c r="K156" s="44"/>
      <c r="L156" s="44"/>
    </row>
    <row r="157" spans="8:12" x14ac:dyDescent="0.25">
      <c r="H157" s="44"/>
      <c r="I157" s="44"/>
      <c r="J157" s="44"/>
      <c r="K157" s="44"/>
      <c r="L157" s="44"/>
    </row>
    <row r="158" spans="8:12" x14ac:dyDescent="0.25">
      <c r="H158" s="44"/>
      <c r="I158" s="44"/>
      <c r="J158" s="44"/>
      <c r="K158" s="44"/>
      <c r="L158" s="44"/>
    </row>
    <row r="159" spans="8:12" x14ac:dyDescent="0.25">
      <c r="H159" s="44"/>
      <c r="I159" s="44"/>
      <c r="J159" s="44"/>
      <c r="K159" s="44"/>
      <c r="L159" s="44"/>
    </row>
    <row r="160" spans="8:12" x14ac:dyDescent="0.25">
      <c r="H160" s="44"/>
      <c r="I160" s="44"/>
      <c r="J160" s="44"/>
      <c r="K160" s="44"/>
      <c r="L160" s="44"/>
    </row>
    <row r="161" spans="1:14" x14ac:dyDescent="0.25">
      <c r="H161" s="44"/>
      <c r="I161" s="44"/>
      <c r="J161" s="44"/>
      <c r="K161" s="44"/>
      <c r="L161" s="44"/>
    </row>
    <row r="162" spans="1:14" x14ac:dyDescent="0.25">
      <c r="H162" s="44"/>
      <c r="I162" s="44"/>
      <c r="J162" s="44"/>
      <c r="K162" s="44"/>
      <c r="L162" s="44"/>
    </row>
    <row r="163" spans="1:14" x14ac:dyDescent="0.25">
      <c r="H163" s="44"/>
      <c r="I163" s="44"/>
      <c r="J163" s="44"/>
      <c r="K163" s="44"/>
      <c r="L163" s="44"/>
    </row>
    <row r="164" spans="1:14" x14ac:dyDescent="0.25">
      <c r="H164" s="44"/>
      <c r="I164" s="44"/>
      <c r="J164" s="44"/>
      <c r="K164" s="44"/>
      <c r="L164" s="44"/>
    </row>
    <row r="165" spans="1:14" x14ac:dyDescent="0.25">
      <c r="H165" s="44"/>
      <c r="I165" s="44"/>
      <c r="J165" s="44"/>
      <c r="K165" s="44"/>
      <c r="L165" s="44"/>
    </row>
    <row r="166" spans="1:14" x14ac:dyDescent="0.25">
      <c r="H166" s="44"/>
      <c r="I166" s="44"/>
      <c r="J166" s="44"/>
      <c r="K166" s="44"/>
      <c r="L166" s="44"/>
    </row>
    <row r="167" spans="1:14" ht="30.75" thickBot="1" x14ac:dyDescent="0.3">
      <c r="A167" s="26"/>
      <c r="C167" s="215" t="s">
        <v>38</v>
      </c>
      <c r="D167" s="215"/>
      <c r="E167" s="215" t="s">
        <v>39</v>
      </c>
      <c r="F167" s="215"/>
      <c r="G167"/>
      <c r="H167"/>
      <c r="I167"/>
      <c r="J167"/>
      <c r="K167"/>
      <c r="L167"/>
      <c r="M167"/>
      <c r="N167"/>
    </row>
    <row r="168" spans="1:14" ht="21.75" thickBot="1" x14ac:dyDescent="0.3">
      <c r="A168" s="26"/>
      <c r="C168" s="46" t="s">
        <v>36</v>
      </c>
      <c r="D168" s="46" t="s">
        <v>37</v>
      </c>
      <c r="E168" s="47" t="s">
        <v>36</v>
      </c>
      <c r="F168" s="47" t="s">
        <v>37</v>
      </c>
      <c r="G168"/>
      <c r="H168"/>
      <c r="I168"/>
      <c r="J168"/>
      <c r="K168" s="219" t="s">
        <v>54</v>
      </c>
      <c r="L168" s="220"/>
      <c r="M168" s="219" t="s">
        <v>55</v>
      </c>
      <c r="N168" s="220"/>
    </row>
    <row r="169" spans="1:14" x14ac:dyDescent="0.25">
      <c r="A169" s="26"/>
      <c r="C169" s="45">
        <v>11</v>
      </c>
      <c r="D169" s="45">
        <v>11</v>
      </c>
      <c r="E169" s="48">
        <v>11</v>
      </c>
      <c r="F169" s="48">
        <v>11</v>
      </c>
      <c r="G169"/>
      <c r="H169"/>
      <c r="I169"/>
      <c r="J169"/>
      <c r="K169" s="70">
        <v>10</v>
      </c>
      <c r="L169" s="71">
        <v>11</v>
      </c>
      <c r="M169" s="70">
        <v>10</v>
      </c>
      <c r="N169" s="71">
        <v>11</v>
      </c>
    </row>
    <row r="170" spans="1:14" x14ac:dyDescent="0.25">
      <c r="A170" s="43"/>
      <c r="B170" s="3" t="s">
        <v>1</v>
      </c>
      <c r="C170" s="32">
        <v>652800</v>
      </c>
      <c r="D170" s="32">
        <v>2084031</v>
      </c>
      <c r="E170" s="58">
        <v>612000</v>
      </c>
      <c r="F170" s="58">
        <v>1826176</v>
      </c>
      <c r="G170"/>
      <c r="H170"/>
      <c r="I170"/>
      <c r="J170"/>
      <c r="K170" s="61">
        <v>728000</v>
      </c>
      <c r="L170" s="58">
        <v>612000</v>
      </c>
      <c r="M170" s="61">
        <v>2436373</v>
      </c>
      <c r="N170" s="58">
        <v>1826176</v>
      </c>
    </row>
    <row r="171" spans="1:14" x14ac:dyDescent="0.25">
      <c r="A171" s="26"/>
      <c r="B171" s="3" t="s">
        <v>2</v>
      </c>
      <c r="C171" s="32">
        <v>323200</v>
      </c>
      <c r="D171" s="32">
        <v>1054081</v>
      </c>
      <c r="E171" s="58">
        <v>331800</v>
      </c>
      <c r="F171" s="58">
        <v>977854</v>
      </c>
      <c r="G171"/>
      <c r="H171"/>
      <c r="I171"/>
      <c r="J171"/>
      <c r="K171" s="61">
        <v>361800</v>
      </c>
      <c r="L171" s="58">
        <v>331800</v>
      </c>
      <c r="M171" s="61">
        <v>1280615</v>
      </c>
      <c r="N171" s="58">
        <v>977854</v>
      </c>
    </row>
    <row r="172" spans="1:14" x14ac:dyDescent="0.25">
      <c r="A172" s="26"/>
      <c r="B172" s="3" t="s">
        <v>3</v>
      </c>
      <c r="C172" s="32">
        <v>387217</v>
      </c>
      <c r="D172" s="32">
        <v>1236492</v>
      </c>
      <c r="E172" s="58">
        <v>381445</v>
      </c>
      <c r="F172" s="58">
        <v>1339978</v>
      </c>
      <c r="G172"/>
      <c r="H172"/>
      <c r="I172"/>
      <c r="J172"/>
      <c r="K172" s="61">
        <v>437793</v>
      </c>
      <c r="L172" s="58">
        <v>381445</v>
      </c>
      <c r="M172" s="61">
        <v>1691758</v>
      </c>
      <c r="N172" s="58">
        <v>1339978</v>
      </c>
    </row>
    <row r="173" spans="1:14" x14ac:dyDescent="0.25">
      <c r="A173" s="26"/>
      <c r="B173" s="3" t="s">
        <v>4</v>
      </c>
      <c r="C173" s="32">
        <v>200160</v>
      </c>
      <c r="D173" s="32">
        <v>574262</v>
      </c>
      <c r="E173" s="58">
        <v>196320</v>
      </c>
      <c r="F173" s="58">
        <v>668213</v>
      </c>
      <c r="G173"/>
      <c r="H173"/>
      <c r="I173"/>
      <c r="J173"/>
      <c r="K173" s="61">
        <v>207520</v>
      </c>
      <c r="L173" s="58">
        <v>196320</v>
      </c>
      <c r="M173" s="61">
        <v>773482</v>
      </c>
      <c r="N173" s="58">
        <v>668213</v>
      </c>
    </row>
    <row r="174" spans="1:14" x14ac:dyDescent="0.25">
      <c r="A174" s="26"/>
      <c r="B174" s="3" t="s">
        <v>5</v>
      </c>
      <c r="C174" s="32">
        <v>164200</v>
      </c>
      <c r="D174" s="32">
        <v>474883</v>
      </c>
      <c r="E174" s="58">
        <v>173600</v>
      </c>
      <c r="F174" s="58">
        <v>594137</v>
      </c>
      <c r="G174"/>
      <c r="H174"/>
      <c r="I174"/>
      <c r="J174"/>
      <c r="K174" s="61">
        <v>189400</v>
      </c>
      <c r="L174" s="58">
        <v>173600</v>
      </c>
      <c r="M174" s="61">
        <v>735808</v>
      </c>
      <c r="N174" s="58">
        <v>594137</v>
      </c>
    </row>
    <row r="175" spans="1:14" x14ac:dyDescent="0.25">
      <c r="A175" s="26"/>
      <c r="B175" s="3" t="s">
        <v>6</v>
      </c>
      <c r="C175" s="32">
        <v>48880</v>
      </c>
      <c r="D175" s="32">
        <v>186041</v>
      </c>
      <c r="E175" s="58">
        <v>49840</v>
      </c>
      <c r="F175" s="58">
        <v>176232</v>
      </c>
      <c r="G175"/>
      <c r="H175"/>
      <c r="I175"/>
      <c r="J175"/>
      <c r="K175" s="61">
        <v>54400</v>
      </c>
      <c r="L175" s="58">
        <v>49840</v>
      </c>
      <c r="M175" s="61">
        <v>201425</v>
      </c>
      <c r="N175" s="58">
        <v>176232</v>
      </c>
    </row>
    <row r="176" spans="1:14" x14ac:dyDescent="0.25">
      <c r="A176" s="26"/>
      <c r="B176" s="3" t="s">
        <v>7</v>
      </c>
      <c r="C176" s="32">
        <v>9878</v>
      </c>
      <c r="D176" s="32">
        <v>31888</v>
      </c>
      <c r="E176" s="58">
        <v>11290</v>
      </c>
      <c r="F176" s="58">
        <v>34381</v>
      </c>
      <c r="G176"/>
      <c r="H176"/>
      <c r="I176"/>
      <c r="J176"/>
      <c r="K176" s="61">
        <v>11995</v>
      </c>
      <c r="L176" s="58">
        <v>11290</v>
      </c>
      <c r="M176" s="61">
        <v>39548</v>
      </c>
      <c r="N176" s="58">
        <v>34381</v>
      </c>
    </row>
    <row r="177" spans="1:14" ht="21.75" thickBot="1" x14ac:dyDescent="0.3">
      <c r="A177" s="26"/>
      <c r="C177" s="29">
        <f t="shared" ref="C177:D177" si="32">SUM(C170:C176)</f>
        <v>1786335</v>
      </c>
      <c r="D177" s="29">
        <f t="shared" si="32"/>
        <v>5641678</v>
      </c>
      <c r="E177" s="29">
        <f>SUM(E169:E176)</f>
        <v>1756306</v>
      </c>
      <c r="F177" s="29">
        <f t="shared" ref="F177" si="33">SUM(F170:F176)</f>
        <v>5616971</v>
      </c>
      <c r="G177"/>
      <c r="H177"/>
      <c r="I177"/>
      <c r="J177"/>
      <c r="K177" s="74">
        <f>SUM(K170:K176)</f>
        <v>1990908</v>
      </c>
      <c r="L177" s="75">
        <f>SUM(L170:L176)</f>
        <v>1756295</v>
      </c>
      <c r="M177" s="74">
        <f t="shared" ref="M177:N177" si="34">SUM(M170:M176)</f>
        <v>7159009</v>
      </c>
      <c r="N177" s="75">
        <f t="shared" si="34"/>
        <v>5616971</v>
      </c>
    </row>
    <row r="178" spans="1:14" ht="21.75" thickBot="1" x14ac:dyDescent="0.3">
      <c r="A178" s="26"/>
      <c r="C178" s="217" t="s">
        <v>50</v>
      </c>
      <c r="D178" s="218"/>
      <c r="E178" s="73" t="s">
        <v>52</v>
      </c>
      <c r="F178" s="53" t="s">
        <v>53</v>
      </c>
      <c r="H178"/>
      <c r="I178"/>
      <c r="J178"/>
      <c r="K178" s="76" t="s">
        <v>51</v>
      </c>
      <c r="L178" s="78">
        <f>L177-K177</f>
        <v>-234613</v>
      </c>
      <c r="M178" s="76" t="s">
        <v>51</v>
      </c>
      <c r="N178" s="77">
        <f>N177-M177</f>
        <v>-1542038</v>
      </c>
    </row>
    <row r="179" spans="1:14" x14ac:dyDescent="0.25">
      <c r="E179" s="44">
        <f>E177-C177</f>
        <v>-30029</v>
      </c>
      <c r="F179" s="44">
        <f>F177-D177</f>
        <v>-24707</v>
      </c>
      <c r="L179" s="44"/>
    </row>
    <row r="180" spans="1:14" ht="24" customHeight="1" x14ac:dyDescent="0.25">
      <c r="I180" s="216"/>
      <c r="J180" s="216"/>
      <c r="K180" s="216"/>
      <c r="L180" s="216"/>
      <c r="M180" s="216"/>
      <c r="N180" s="44"/>
    </row>
    <row r="181" spans="1:14" x14ac:dyDescent="0.25">
      <c r="B181" s="49"/>
      <c r="C181" s="49"/>
      <c r="D181" s="49"/>
      <c r="E181" s="49"/>
      <c r="M181" s="44"/>
    </row>
    <row r="182" spans="1:14" x14ac:dyDescent="0.25">
      <c r="B182" s="43"/>
      <c r="C182" s="43"/>
      <c r="D182" s="43"/>
      <c r="E182" s="43"/>
      <c r="F182" s="43"/>
      <c r="G182" s="43"/>
      <c r="H182" s="43"/>
      <c r="I182" s="43"/>
      <c r="J182" s="43"/>
    </row>
    <row r="188" spans="1:14" ht="21.75" customHeight="1" x14ac:dyDescent="0.25">
      <c r="B188" s="216"/>
      <c r="C188" s="216"/>
      <c r="D188" s="216"/>
      <c r="E188" s="216"/>
      <c r="F188" s="216"/>
    </row>
    <row r="201" spans="2:10" x14ac:dyDescent="0.25">
      <c r="B201" s="49" t="s">
        <v>45</v>
      </c>
      <c r="C201" s="49" t="s">
        <v>46</v>
      </c>
      <c r="D201" s="49" t="s">
        <v>47</v>
      </c>
      <c r="E201" s="49" t="s">
        <v>48</v>
      </c>
      <c r="F201" s="26" t="s">
        <v>40</v>
      </c>
      <c r="G201" s="26" t="s">
        <v>41</v>
      </c>
      <c r="H201" s="26" t="s">
        <v>42</v>
      </c>
      <c r="I201" s="26" t="s">
        <v>43</v>
      </c>
      <c r="J201" s="26" t="s">
        <v>44</v>
      </c>
    </row>
    <row r="202" spans="2:10" x14ac:dyDescent="0.25">
      <c r="B202" s="43">
        <v>64005051</v>
      </c>
      <c r="C202" s="43">
        <v>64413689</v>
      </c>
      <c r="D202" s="43">
        <v>57327475</v>
      </c>
      <c r="E202" s="43">
        <v>64968361</v>
      </c>
      <c r="F202" s="43">
        <v>36144044</v>
      </c>
      <c r="G202" s="43">
        <v>35017757</v>
      </c>
      <c r="H202" s="43">
        <v>31726150</v>
      </c>
      <c r="I202" s="43">
        <v>33379071</v>
      </c>
      <c r="J202" s="43">
        <v>40743366</v>
      </c>
    </row>
  </sheetData>
  <mergeCells count="21">
    <mergeCell ref="I180:M180"/>
    <mergeCell ref="B188:F188"/>
    <mergeCell ref="A91:O91"/>
    <mergeCell ref="A81:O81"/>
    <mergeCell ref="C178:D178"/>
    <mergeCell ref="K168:L168"/>
    <mergeCell ref="M168:N168"/>
    <mergeCell ref="A124:O124"/>
    <mergeCell ref="A135:O135"/>
    <mergeCell ref="A61:O61"/>
    <mergeCell ref="A71:O71"/>
    <mergeCell ref="A101:O101"/>
    <mergeCell ref="A112:O112"/>
    <mergeCell ref="C167:D167"/>
    <mergeCell ref="E167:F167"/>
    <mergeCell ref="A51:O51"/>
    <mergeCell ref="A1:O1"/>
    <mergeCell ref="A11:O11"/>
    <mergeCell ref="A21:O21"/>
    <mergeCell ref="A31:O31"/>
    <mergeCell ref="A41:O41"/>
  </mergeCells>
  <phoneticPr fontId="2" type="noConversion"/>
  <pageMargins left="0.7" right="0.7" top="0.75" bottom="0.75" header="0.3" footer="0.3"/>
  <pageSetup paperSize="9" scale="4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5:R78"/>
  <sheetViews>
    <sheetView tabSelected="1" zoomScale="85" zoomScaleNormal="85" workbookViewId="0">
      <selection activeCell="O22" sqref="O22"/>
    </sheetView>
  </sheetViews>
  <sheetFormatPr defaultRowHeight="16.5" x14ac:dyDescent="0.25"/>
  <cols>
    <col min="2" max="2" width="37.125" bestFit="1" customWidth="1"/>
    <col min="3" max="3" width="15" bestFit="1" customWidth="1"/>
    <col min="21" max="21" width="35.75" bestFit="1" customWidth="1"/>
    <col min="22" max="22" width="17.625" bestFit="1" customWidth="1"/>
    <col min="23" max="23" width="13.25" customWidth="1"/>
    <col min="24" max="24" width="10.375" customWidth="1"/>
    <col min="25" max="25" width="12.125" customWidth="1"/>
    <col min="26" max="26" width="11.75" customWidth="1"/>
    <col min="27" max="27" width="10.5" customWidth="1"/>
    <col min="28" max="28" width="12.375" customWidth="1"/>
    <col min="29" max="29" width="10.5" customWidth="1"/>
    <col min="30" max="31" width="10.625" customWidth="1"/>
    <col min="32" max="32" width="13" customWidth="1"/>
    <col min="33" max="33" width="11.75" customWidth="1"/>
    <col min="34" max="34" width="11.625" customWidth="1"/>
    <col min="35" max="35" width="20.375" customWidth="1"/>
  </cols>
  <sheetData>
    <row r="25" spans="2:18" ht="28.5" thickBot="1" x14ac:dyDescent="0.3">
      <c r="B25" s="85" t="s">
        <v>59</v>
      </c>
    </row>
    <row r="26" spans="2:18" ht="48.75" customHeight="1" thickBot="1" x14ac:dyDescent="0.3">
      <c r="B26" s="221" t="s">
        <v>123</v>
      </c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3"/>
    </row>
    <row r="27" spans="2:18" ht="21" thickBot="1" x14ac:dyDescent="0.3">
      <c r="B27" s="145" t="s">
        <v>60</v>
      </c>
      <c r="C27" s="79" t="s">
        <v>61</v>
      </c>
      <c r="D27" s="80">
        <v>1</v>
      </c>
      <c r="E27" s="81">
        <v>2</v>
      </c>
      <c r="F27" s="81">
        <v>3</v>
      </c>
      <c r="G27" s="81">
        <v>4</v>
      </c>
      <c r="H27" s="81">
        <v>5</v>
      </c>
      <c r="I27" s="81">
        <v>6</v>
      </c>
      <c r="J27" s="81">
        <v>7</v>
      </c>
      <c r="K27" s="81">
        <v>8</v>
      </c>
      <c r="L27" s="81">
        <v>9</v>
      </c>
      <c r="M27" s="81">
        <v>10</v>
      </c>
      <c r="N27" s="81">
        <v>11</v>
      </c>
      <c r="O27" s="82">
        <v>12</v>
      </c>
      <c r="P27" s="83"/>
      <c r="Q27" s="83"/>
      <c r="R27" s="83"/>
    </row>
    <row r="28" spans="2:18" s="88" customFormat="1" ht="21" x14ac:dyDescent="0.25">
      <c r="B28" s="146" t="s">
        <v>105</v>
      </c>
      <c r="C28" s="89">
        <v>3500</v>
      </c>
      <c r="D28" s="90">
        <v>1656</v>
      </c>
      <c r="E28" s="90">
        <v>1520</v>
      </c>
      <c r="F28" s="90">
        <v>1312</v>
      </c>
      <c r="G28" s="90">
        <v>1720</v>
      </c>
      <c r="H28" s="90">
        <v>2664</v>
      </c>
      <c r="I28" s="91">
        <v>3560</v>
      </c>
      <c r="J28" s="91">
        <v>3520</v>
      </c>
      <c r="K28" s="90">
        <v>2624</v>
      </c>
      <c r="L28" s="90">
        <v>2672</v>
      </c>
      <c r="M28" s="90">
        <v>3080</v>
      </c>
      <c r="N28" s="90">
        <v>2544</v>
      </c>
      <c r="O28" s="90">
        <v>2240</v>
      </c>
    </row>
    <row r="29" spans="2:18" s="88" customFormat="1" ht="21" x14ac:dyDescent="0.25">
      <c r="B29" s="146" t="s">
        <v>106</v>
      </c>
      <c r="C29" s="89" t="s">
        <v>107</v>
      </c>
      <c r="D29" s="90">
        <v>2368</v>
      </c>
      <c r="E29" s="90">
        <v>1256</v>
      </c>
      <c r="F29" s="90">
        <v>1496</v>
      </c>
      <c r="G29" s="90">
        <v>1912</v>
      </c>
      <c r="H29" s="91">
        <v>2728</v>
      </c>
      <c r="I29" s="92">
        <v>3064</v>
      </c>
      <c r="J29" s="91">
        <v>2752</v>
      </c>
      <c r="K29" s="90">
        <v>2312</v>
      </c>
      <c r="L29" s="90">
        <v>1500</v>
      </c>
      <c r="M29" s="92">
        <v>3024</v>
      </c>
      <c r="N29" s="91">
        <v>2736</v>
      </c>
      <c r="O29" s="90">
        <v>1976</v>
      </c>
    </row>
    <row r="30" spans="2:18" ht="21" x14ac:dyDescent="0.25">
      <c r="B30" s="147" t="s">
        <v>62</v>
      </c>
      <c r="C30" s="93">
        <v>2700</v>
      </c>
      <c r="D30" s="94">
        <v>1600</v>
      </c>
      <c r="E30" s="94">
        <v>1224</v>
      </c>
      <c r="F30" s="94">
        <v>1000</v>
      </c>
      <c r="G30" s="94">
        <v>1944</v>
      </c>
      <c r="H30" s="94">
        <v>2144</v>
      </c>
      <c r="I30" s="91">
        <v>2928</v>
      </c>
      <c r="J30" s="91">
        <v>2960</v>
      </c>
      <c r="K30" s="94">
        <v>2256</v>
      </c>
      <c r="L30" s="94">
        <v>2288</v>
      </c>
      <c r="M30" s="92">
        <v>3056</v>
      </c>
      <c r="N30" s="94">
        <v>2560</v>
      </c>
      <c r="O30" s="95">
        <v>1936</v>
      </c>
    </row>
    <row r="31" spans="2:18" ht="21" x14ac:dyDescent="0.25">
      <c r="B31" s="147" t="s">
        <v>63</v>
      </c>
      <c r="C31" s="96">
        <v>2550</v>
      </c>
      <c r="D31" s="94">
        <v>1448</v>
      </c>
      <c r="E31" s="94">
        <v>1168</v>
      </c>
      <c r="F31" s="94">
        <v>1240</v>
      </c>
      <c r="G31" s="94">
        <v>1944</v>
      </c>
      <c r="H31" s="94">
        <v>1816</v>
      </c>
      <c r="I31" s="97">
        <v>2712</v>
      </c>
      <c r="J31" s="94">
        <v>1544</v>
      </c>
      <c r="K31" s="94">
        <v>1512</v>
      </c>
      <c r="L31" s="94">
        <v>1616</v>
      </c>
      <c r="M31" s="94">
        <v>2480</v>
      </c>
      <c r="N31" s="94">
        <v>2528</v>
      </c>
      <c r="O31" s="95">
        <v>1856</v>
      </c>
    </row>
    <row r="32" spans="2:18" ht="21" x14ac:dyDescent="0.25">
      <c r="B32" s="147" t="s">
        <v>64</v>
      </c>
      <c r="C32" s="96" t="s">
        <v>65</v>
      </c>
      <c r="D32" s="94">
        <v>1304</v>
      </c>
      <c r="E32" s="94">
        <v>1032</v>
      </c>
      <c r="F32" s="94">
        <v>1032</v>
      </c>
      <c r="G32" s="94">
        <v>1544</v>
      </c>
      <c r="H32" s="94">
        <v>2280</v>
      </c>
      <c r="I32" s="94">
        <v>1808</v>
      </c>
      <c r="J32" s="94">
        <v>1816</v>
      </c>
      <c r="K32" s="94">
        <v>1992</v>
      </c>
      <c r="L32" s="94">
        <v>1976</v>
      </c>
      <c r="M32" s="94">
        <v>2504</v>
      </c>
      <c r="N32" s="91">
        <v>2512</v>
      </c>
      <c r="O32" s="95">
        <v>2024</v>
      </c>
      <c r="P32" s="84" t="s">
        <v>66</v>
      </c>
    </row>
    <row r="33" spans="2:16" ht="21" x14ac:dyDescent="0.25">
      <c r="B33" s="147" t="s">
        <v>67</v>
      </c>
      <c r="C33" s="96">
        <v>2250</v>
      </c>
      <c r="D33" s="94">
        <v>1392</v>
      </c>
      <c r="E33" s="94">
        <v>1016</v>
      </c>
      <c r="F33" s="94">
        <v>1192</v>
      </c>
      <c r="G33" s="94">
        <v>1784</v>
      </c>
      <c r="H33" s="94">
        <v>1840</v>
      </c>
      <c r="I33" s="97">
        <v>2440</v>
      </c>
      <c r="J33" s="98">
        <v>2504</v>
      </c>
      <c r="K33" s="94">
        <v>1992</v>
      </c>
      <c r="L33" s="94">
        <v>1904</v>
      </c>
      <c r="M33" s="98">
        <v>2608</v>
      </c>
      <c r="N33" s="91">
        <v>2440</v>
      </c>
      <c r="O33" s="95">
        <v>2016</v>
      </c>
    </row>
    <row r="34" spans="2:16" ht="21" x14ac:dyDescent="0.25">
      <c r="B34" s="147" t="s">
        <v>68</v>
      </c>
      <c r="C34" s="96">
        <v>2250</v>
      </c>
      <c r="D34" s="94">
        <v>1568</v>
      </c>
      <c r="E34" s="94">
        <v>1024</v>
      </c>
      <c r="F34" s="94">
        <v>1488</v>
      </c>
      <c r="G34" s="94">
        <v>1984</v>
      </c>
      <c r="H34" s="97">
        <v>2368</v>
      </c>
      <c r="I34" s="97">
        <v>2384</v>
      </c>
      <c r="J34" s="97">
        <v>2384</v>
      </c>
      <c r="K34" s="94">
        <v>1920</v>
      </c>
      <c r="L34" s="94">
        <v>2144</v>
      </c>
      <c r="M34" s="98">
        <v>2856</v>
      </c>
      <c r="N34" s="98">
        <v>2752</v>
      </c>
      <c r="O34" s="95"/>
    </row>
    <row r="35" spans="2:16" ht="21" x14ac:dyDescent="0.25">
      <c r="B35" s="148" t="s">
        <v>108</v>
      </c>
      <c r="C35" s="99">
        <v>1800</v>
      </c>
      <c r="D35" s="100">
        <v>844</v>
      </c>
      <c r="E35" s="100">
        <v>778</v>
      </c>
      <c r="F35" s="100">
        <v>622</v>
      </c>
      <c r="G35" s="100">
        <v>746</v>
      </c>
      <c r="H35" s="100">
        <v>1132</v>
      </c>
      <c r="I35" s="100">
        <v>1428</v>
      </c>
      <c r="J35" s="100">
        <v>1452</v>
      </c>
      <c r="K35" s="100">
        <v>1180</v>
      </c>
      <c r="L35" s="100">
        <v>1212</v>
      </c>
      <c r="M35" s="100">
        <v>1352</v>
      </c>
      <c r="N35" s="100">
        <v>1108</v>
      </c>
      <c r="O35" s="101">
        <v>966</v>
      </c>
    </row>
    <row r="36" spans="2:16" ht="21" x14ac:dyDescent="0.25">
      <c r="B36" s="148" t="s">
        <v>109</v>
      </c>
      <c r="C36" s="99" t="s">
        <v>110</v>
      </c>
      <c r="D36" s="100">
        <v>934</v>
      </c>
      <c r="E36" s="100">
        <v>684</v>
      </c>
      <c r="F36" s="100">
        <v>710</v>
      </c>
      <c r="G36" s="100">
        <v>878</v>
      </c>
      <c r="H36" s="100">
        <v>1148</v>
      </c>
      <c r="I36" s="100">
        <v>1184</v>
      </c>
      <c r="J36" s="102">
        <v>1216</v>
      </c>
      <c r="K36" s="100">
        <v>1172</v>
      </c>
      <c r="L36" s="100">
        <v>1142</v>
      </c>
      <c r="M36" s="102">
        <v>1264</v>
      </c>
      <c r="N36" s="102">
        <v>1212</v>
      </c>
      <c r="O36" s="101">
        <v>954</v>
      </c>
    </row>
    <row r="37" spans="2:16" ht="21" x14ac:dyDescent="0.25">
      <c r="B37" s="148" t="s">
        <v>69</v>
      </c>
      <c r="C37" s="99">
        <v>1200</v>
      </c>
      <c r="D37" s="100">
        <v>834</v>
      </c>
      <c r="E37" s="100">
        <v>696</v>
      </c>
      <c r="F37" s="100">
        <v>666</v>
      </c>
      <c r="G37" s="100">
        <v>958</v>
      </c>
      <c r="H37" s="100">
        <v>988</v>
      </c>
      <c r="I37" s="102">
        <v>1308</v>
      </c>
      <c r="J37" s="92">
        <v>1356</v>
      </c>
      <c r="K37" s="100">
        <v>1196</v>
      </c>
      <c r="L37" s="100">
        <v>1162</v>
      </c>
      <c r="M37" s="92">
        <v>1334</v>
      </c>
      <c r="N37" s="102">
        <v>1270</v>
      </c>
      <c r="O37" s="101">
        <v>1010</v>
      </c>
    </row>
    <row r="38" spans="2:16" ht="21" x14ac:dyDescent="0.25">
      <c r="B38" s="148" t="s">
        <v>70</v>
      </c>
      <c r="C38" s="99">
        <v>1100</v>
      </c>
      <c r="D38" s="100">
        <v>760</v>
      </c>
      <c r="E38" s="100">
        <v>634</v>
      </c>
      <c r="F38" s="100">
        <v>676</v>
      </c>
      <c r="G38" s="100">
        <v>960</v>
      </c>
      <c r="H38" s="100">
        <v>984</v>
      </c>
      <c r="I38" s="98">
        <v>1286</v>
      </c>
      <c r="J38" s="100">
        <v>948</v>
      </c>
      <c r="K38" s="100">
        <v>1064</v>
      </c>
      <c r="L38" s="100">
        <v>1020</v>
      </c>
      <c r="M38" s="98">
        <v>1290</v>
      </c>
      <c r="N38" s="98">
        <v>1282</v>
      </c>
      <c r="O38" s="101">
        <v>918</v>
      </c>
    </row>
    <row r="39" spans="2:16" ht="21" x14ac:dyDescent="0.25">
      <c r="B39" s="148" t="s">
        <v>71</v>
      </c>
      <c r="C39" s="99" t="s">
        <v>72</v>
      </c>
      <c r="D39" s="100">
        <v>740</v>
      </c>
      <c r="E39" s="100">
        <v>666</v>
      </c>
      <c r="F39" s="100">
        <v>630</v>
      </c>
      <c r="G39" s="100">
        <v>866</v>
      </c>
      <c r="H39" s="102">
        <v>1184</v>
      </c>
      <c r="I39" s="100">
        <v>984</v>
      </c>
      <c r="J39" s="102">
        <v>1104</v>
      </c>
      <c r="K39" s="102">
        <v>1138</v>
      </c>
      <c r="L39" s="100">
        <v>1066</v>
      </c>
      <c r="M39" s="98">
        <v>1248</v>
      </c>
      <c r="N39" s="98">
        <v>1264</v>
      </c>
      <c r="O39" s="101">
        <v>990</v>
      </c>
      <c r="P39" s="84" t="s">
        <v>73</v>
      </c>
    </row>
    <row r="40" spans="2:16" ht="21" x14ac:dyDescent="0.25">
      <c r="B40" s="148" t="s">
        <v>74</v>
      </c>
      <c r="C40" s="99">
        <v>1000</v>
      </c>
      <c r="D40" s="100">
        <v>820</v>
      </c>
      <c r="E40" s="100">
        <v>726</v>
      </c>
      <c r="F40" s="100">
        <v>708</v>
      </c>
      <c r="G40" s="100">
        <v>938</v>
      </c>
      <c r="H40" s="100">
        <v>990</v>
      </c>
      <c r="I40" s="98">
        <v>1298</v>
      </c>
      <c r="J40" s="98">
        <v>1236</v>
      </c>
      <c r="K40" s="102">
        <v>1076</v>
      </c>
      <c r="L40" s="102">
        <v>1006</v>
      </c>
      <c r="M40" s="98">
        <v>1350</v>
      </c>
      <c r="N40" s="98">
        <v>1244</v>
      </c>
      <c r="O40" s="103">
        <v>1038</v>
      </c>
    </row>
    <row r="41" spans="2:16" ht="21" x14ac:dyDescent="0.25">
      <c r="B41" s="148" t="s">
        <v>75</v>
      </c>
      <c r="C41" s="99">
        <v>1000</v>
      </c>
      <c r="D41" s="100">
        <v>928</v>
      </c>
      <c r="E41" s="100">
        <v>698</v>
      </c>
      <c r="F41" s="100">
        <v>856</v>
      </c>
      <c r="G41" s="102">
        <v>1014</v>
      </c>
      <c r="H41" s="98">
        <v>1124</v>
      </c>
      <c r="I41" s="98">
        <v>1116</v>
      </c>
      <c r="J41" s="98">
        <v>1186</v>
      </c>
      <c r="K41" s="98">
        <v>1158</v>
      </c>
      <c r="L41" s="102">
        <v>1032</v>
      </c>
      <c r="M41" s="98">
        <v>1296</v>
      </c>
      <c r="N41" s="98">
        <v>1290</v>
      </c>
      <c r="O41" s="103"/>
    </row>
    <row r="42" spans="2:16" ht="21" x14ac:dyDescent="0.25">
      <c r="B42" s="149" t="s">
        <v>111</v>
      </c>
      <c r="C42" s="104">
        <v>1400</v>
      </c>
      <c r="D42" s="105">
        <v>1035</v>
      </c>
      <c r="E42" s="105">
        <v>783</v>
      </c>
      <c r="F42" s="105">
        <v>649</v>
      </c>
      <c r="G42" s="105">
        <v>992</v>
      </c>
      <c r="H42" s="105">
        <v>1394</v>
      </c>
      <c r="I42" s="106">
        <v>1530</v>
      </c>
      <c r="J42" s="106">
        <v>1467</v>
      </c>
      <c r="K42" s="106">
        <v>1529</v>
      </c>
      <c r="L42" s="106">
        <v>1474</v>
      </c>
      <c r="M42" s="105">
        <v>1376</v>
      </c>
      <c r="N42" s="105">
        <v>1196</v>
      </c>
      <c r="O42" s="107">
        <v>1144</v>
      </c>
    </row>
    <row r="43" spans="2:16" ht="21" x14ac:dyDescent="0.25">
      <c r="B43" s="149" t="s">
        <v>112</v>
      </c>
      <c r="C43" s="104">
        <v>1400</v>
      </c>
      <c r="D43" s="105">
        <v>978</v>
      </c>
      <c r="E43" s="105">
        <v>700</v>
      </c>
      <c r="F43" s="105">
        <v>733</v>
      </c>
      <c r="G43" s="105">
        <v>1180</v>
      </c>
      <c r="H43" s="105">
        <v>1292</v>
      </c>
      <c r="I43" s="105">
        <v>1296</v>
      </c>
      <c r="J43" s="106">
        <v>1433</v>
      </c>
      <c r="K43" s="106">
        <v>1433</v>
      </c>
      <c r="L43" s="105">
        <v>1394</v>
      </c>
      <c r="M43" s="106">
        <v>1514</v>
      </c>
      <c r="N43" s="105">
        <v>1266</v>
      </c>
      <c r="O43" s="107">
        <v>917</v>
      </c>
    </row>
    <row r="44" spans="2:16" ht="21" x14ac:dyDescent="0.25">
      <c r="B44" s="149" t="s">
        <v>76</v>
      </c>
      <c r="C44" s="104" t="s">
        <v>77</v>
      </c>
      <c r="D44" s="105">
        <v>838</v>
      </c>
      <c r="E44" s="105">
        <v>707</v>
      </c>
      <c r="F44" s="105">
        <v>692</v>
      </c>
      <c r="G44" s="105">
        <v>1042</v>
      </c>
      <c r="H44" s="105">
        <v>1093</v>
      </c>
      <c r="I44" s="105">
        <v>1393</v>
      </c>
      <c r="J44" s="105">
        <v>1321</v>
      </c>
      <c r="K44" s="92">
        <v>1441</v>
      </c>
      <c r="L44" s="92">
        <v>1472</v>
      </c>
      <c r="M44" s="92">
        <v>1437</v>
      </c>
      <c r="N44" s="105">
        <v>1253</v>
      </c>
      <c r="O44" s="107">
        <v>1066</v>
      </c>
    </row>
    <row r="45" spans="2:16" ht="21" x14ac:dyDescent="0.25">
      <c r="B45" s="149" t="s">
        <v>78</v>
      </c>
      <c r="C45" s="104">
        <v>1300</v>
      </c>
      <c r="D45" s="105">
        <v>934</v>
      </c>
      <c r="E45" s="105">
        <v>750</v>
      </c>
      <c r="F45" s="105">
        <v>733</v>
      </c>
      <c r="G45" s="105">
        <v>1032</v>
      </c>
      <c r="H45" s="105">
        <v>1053</v>
      </c>
      <c r="I45" s="108">
        <v>1362</v>
      </c>
      <c r="J45" s="105">
        <v>983</v>
      </c>
      <c r="K45" s="105">
        <v>988</v>
      </c>
      <c r="L45" s="105">
        <v>939</v>
      </c>
      <c r="M45" s="105">
        <v>1156</v>
      </c>
      <c r="N45" s="105">
        <v>1217</v>
      </c>
      <c r="O45" s="107">
        <v>894</v>
      </c>
    </row>
    <row r="46" spans="2:16" ht="21" x14ac:dyDescent="0.25">
      <c r="B46" s="149" t="s">
        <v>79</v>
      </c>
      <c r="C46" s="104">
        <v>1300</v>
      </c>
      <c r="D46" s="105">
        <v>829</v>
      </c>
      <c r="E46" s="105">
        <v>642</v>
      </c>
      <c r="F46" s="105">
        <v>595</v>
      </c>
      <c r="G46" s="105">
        <v>748</v>
      </c>
      <c r="H46" s="105">
        <v>1101</v>
      </c>
      <c r="I46" s="105">
        <v>1015</v>
      </c>
      <c r="J46" s="105">
        <v>1240</v>
      </c>
      <c r="K46" s="106">
        <v>1359</v>
      </c>
      <c r="L46" s="106">
        <v>1357</v>
      </c>
      <c r="M46" s="106">
        <v>1340</v>
      </c>
      <c r="N46" s="105">
        <v>1206</v>
      </c>
      <c r="O46" s="107">
        <v>981</v>
      </c>
    </row>
    <row r="47" spans="2:16" ht="21" x14ac:dyDescent="0.25">
      <c r="B47" s="149" t="s">
        <v>80</v>
      </c>
      <c r="C47" s="104">
        <v>1300</v>
      </c>
      <c r="D47" s="105">
        <v>713</v>
      </c>
      <c r="E47" s="105">
        <v>648</v>
      </c>
      <c r="F47" s="105">
        <v>710</v>
      </c>
      <c r="G47" s="105">
        <v>945</v>
      </c>
      <c r="H47" s="105">
        <v>968</v>
      </c>
      <c r="I47" s="105">
        <v>1251</v>
      </c>
      <c r="J47" s="106">
        <v>1344</v>
      </c>
      <c r="K47" s="106">
        <v>1426</v>
      </c>
      <c r="L47" s="109">
        <v>1287</v>
      </c>
      <c r="M47" s="106">
        <v>1307</v>
      </c>
      <c r="N47" s="105">
        <v>1243</v>
      </c>
      <c r="O47" s="107">
        <v>1070</v>
      </c>
    </row>
    <row r="48" spans="2:16" ht="21" x14ac:dyDescent="0.25">
      <c r="B48" s="149" t="s">
        <v>81</v>
      </c>
      <c r="C48" s="104">
        <v>1300</v>
      </c>
      <c r="D48" s="105">
        <v>855</v>
      </c>
      <c r="E48" s="105">
        <v>697</v>
      </c>
      <c r="F48" s="105">
        <v>857</v>
      </c>
      <c r="G48" s="105">
        <v>1107</v>
      </c>
      <c r="H48" s="105">
        <v>1164</v>
      </c>
      <c r="I48" s="105">
        <v>1141</v>
      </c>
      <c r="J48" s="105">
        <v>1164</v>
      </c>
      <c r="K48" s="92">
        <v>1436</v>
      </c>
      <c r="L48" s="106">
        <v>1415</v>
      </c>
      <c r="M48" s="92">
        <v>1487</v>
      </c>
      <c r="N48" s="106">
        <v>1349</v>
      </c>
      <c r="O48" s="107"/>
    </row>
    <row r="49" spans="2:15" ht="21" x14ac:dyDescent="0.25">
      <c r="B49" s="150" t="s">
        <v>113</v>
      </c>
      <c r="C49" s="110">
        <v>100</v>
      </c>
      <c r="D49" s="111">
        <v>38</v>
      </c>
      <c r="E49" s="111">
        <v>35</v>
      </c>
      <c r="F49" s="111">
        <v>27</v>
      </c>
      <c r="G49" s="111">
        <v>46</v>
      </c>
      <c r="H49" s="111">
        <v>48</v>
      </c>
      <c r="I49" s="111">
        <v>56</v>
      </c>
      <c r="J49" s="111">
        <v>54</v>
      </c>
      <c r="K49" s="111">
        <v>49</v>
      </c>
      <c r="L49" s="111">
        <v>44</v>
      </c>
      <c r="M49" s="111">
        <v>53</v>
      </c>
      <c r="N49" s="111">
        <v>45</v>
      </c>
      <c r="O49" s="112">
        <v>48</v>
      </c>
    </row>
    <row r="50" spans="2:15" ht="21" x14ac:dyDescent="0.25">
      <c r="B50" s="150" t="s">
        <v>114</v>
      </c>
      <c r="C50" s="110">
        <v>100</v>
      </c>
      <c r="D50" s="111">
        <v>43</v>
      </c>
      <c r="E50" s="111">
        <v>34</v>
      </c>
      <c r="F50" s="111">
        <v>32</v>
      </c>
      <c r="G50" s="111">
        <v>43</v>
      </c>
      <c r="H50" s="111">
        <v>49</v>
      </c>
      <c r="I50" s="111">
        <v>48</v>
      </c>
      <c r="J50" s="111">
        <v>51</v>
      </c>
      <c r="K50" s="111">
        <v>52</v>
      </c>
      <c r="L50" s="111">
        <v>48</v>
      </c>
      <c r="M50" s="111">
        <v>53</v>
      </c>
      <c r="N50" s="111">
        <v>52</v>
      </c>
      <c r="O50" s="112">
        <v>48</v>
      </c>
    </row>
    <row r="51" spans="2:15" ht="21" x14ac:dyDescent="0.25">
      <c r="B51" s="150" t="s">
        <v>82</v>
      </c>
      <c r="C51" s="110" t="s">
        <v>83</v>
      </c>
      <c r="D51" s="111">
        <v>38</v>
      </c>
      <c r="E51" s="111">
        <v>32</v>
      </c>
      <c r="F51" s="111">
        <v>24</v>
      </c>
      <c r="G51" s="111">
        <v>47</v>
      </c>
      <c r="H51" s="111">
        <v>47</v>
      </c>
      <c r="I51" s="111">
        <v>54</v>
      </c>
      <c r="J51" s="111">
        <v>54</v>
      </c>
      <c r="K51" s="111">
        <v>48</v>
      </c>
      <c r="L51" s="111">
        <v>55</v>
      </c>
      <c r="M51" s="111">
        <v>61</v>
      </c>
      <c r="N51" s="111">
        <v>52</v>
      </c>
      <c r="O51" s="112">
        <v>46</v>
      </c>
    </row>
    <row r="52" spans="2:15" ht="21" x14ac:dyDescent="0.25">
      <c r="B52" s="150" t="s">
        <v>84</v>
      </c>
      <c r="C52" s="110">
        <v>50</v>
      </c>
      <c r="D52" s="111">
        <v>34</v>
      </c>
      <c r="E52" s="111">
        <v>30</v>
      </c>
      <c r="F52" s="111">
        <v>33</v>
      </c>
      <c r="G52" s="111">
        <v>33</v>
      </c>
      <c r="H52" s="111">
        <v>40</v>
      </c>
      <c r="I52" s="111">
        <v>40</v>
      </c>
      <c r="J52" s="111">
        <v>48</v>
      </c>
      <c r="K52" s="111">
        <v>48</v>
      </c>
      <c r="L52" s="111">
        <v>40</v>
      </c>
      <c r="M52" s="111">
        <v>48</v>
      </c>
      <c r="N52" s="92">
        <v>56</v>
      </c>
      <c r="O52" s="113">
        <v>56</v>
      </c>
    </row>
    <row r="53" spans="2:15" ht="21" x14ac:dyDescent="0.25">
      <c r="B53" s="150" t="s">
        <v>85</v>
      </c>
      <c r="C53" s="110">
        <v>50</v>
      </c>
      <c r="D53" s="111">
        <v>40</v>
      </c>
      <c r="E53" s="111">
        <v>40</v>
      </c>
      <c r="F53" s="111">
        <v>24</v>
      </c>
      <c r="G53" s="111">
        <v>40</v>
      </c>
      <c r="H53" s="111">
        <v>40</v>
      </c>
      <c r="I53" s="111">
        <v>48</v>
      </c>
      <c r="J53" s="111">
        <v>40</v>
      </c>
      <c r="K53" s="111">
        <v>32</v>
      </c>
      <c r="L53" s="111">
        <v>40</v>
      </c>
      <c r="M53" s="92">
        <v>56</v>
      </c>
      <c r="N53" s="111">
        <v>48</v>
      </c>
      <c r="O53" s="112">
        <v>48</v>
      </c>
    </row>
    <row r="54" spans="2:15" ht="21" x14ac:dyDescent="0.25">
      <c r="B54" s="150" t="s">
        <v>86</v>
      </c>
      <c r="C54" s="110">
        <v>50</v>
      </c>
      <c r="D54" s="111">
        <v>48</v>
      </c>
      <c r="E54" s="111">
        <v>50</v>
      </c>
      <c r="F54" s="111">
        <v>17</v>
      </c>
      <c r="G54" s="111">
        <v>32</v>
      </c>
      <c r="H54" s="111">
        <v>32</v>
      </c>
      <c r="I54" s="111">
        <v>48</v>
      </c>
      <c r="J54" s="111">
        <v>48</v>
      </c>
      <c r="K54" s="92">
        <v>56</v>
      </c>
      <c r="L54" s="111">
        <v>32</v>
      </c>
      <c r="M54" s="111">
        <v>40</v>
      </c>
      <c r="N54" s="111">
        <v>48</v>
      </c>
      <c r="O54" s="112">
        <v>40</v>
      </c>
    </row>
    <row r="55" spans="2:15" ht="21" x14ac:dyDescent="0.25">
      <c r="B55" s="150" t="s">
        <v>87</v>
      </c>
      <c r="C55" s="110">
        <v>50</v>
      </c>
      <c r="D55" s="111">
        <v>48</v>
      </c>
      <c r="E55" s="111">
        <v>32</v>
      </c>
      <c r="F55" s="111">
        <v>24</v>
      </c>
      <c r="G55" s="111">
        <v>24</v>
      </c>
      <c r="H55" s="111">
        <v>40</v>
      </c>
      <c r="I55" s="111">
        <v>48</v>
      </c>
      <c r="J55" s="111">
        <v>48</v>
      </c>
      <c r="K55" s="92">
        <v>56</v>
      </c>
      <c r="L55" s="92">
        <v>56</v>
      </c>
      <c r="M55" s="92">
        <v>56</v>
      </c>
      <c r="N55" s="111">
        <v>48</v>
      </c>
      <c r="O55" s="112"/>
    </row>
    <row r="56" spans="2:15" ht="21" x14ac:dyDescent="0.25">
      <c r="B56" s="151" t="s">
        <v>115</v>
      </c>
      <c r="C56" s="114">
        <v>620</v>
      </c>
      <c r="D56" s="115">
        <v>319</v>
      </c>
      <c r="E56" s="115">
        <v>337</v>
      </c>
      <c r="F56" s="115">
        <v>240</v>
      </c>
      <c r="G56" s="115">
        <v>310</v>
      </c>
      <c r="H56" s="115">
        <v>387</v>
      </c>
      <c r="I56" s="115">
        <v>515</v>
      </c>
      <c r="J56" s="115">
        <v>498</v>
      </c>
      <c r="K56" s="115">
        <v>225</v>
      </c>
      <c r="L56" s="115">
        <v>240</v>
      </c>
      <c r="M56" s="115">
        <v>306</v>
      </c>
      <c r="N56" s="115">
        <v>354</v>
      </c>
      <c r="O56" s="116">
        <v>333</v>
      </c>
    </row>
    <row r="57" spans="2:15" ht="21" x14ac:dyDescent="0.25">
      <c r="B57" s="151" t="s">
        <v>116</v>
      </c>
      <c r="C57" s="114" t="s">
        <v>117</v>
      </c>
      <c r="D57" s="115">
        <v>306</v>
      </c>
      <c r="E57" s="115">
        <v>282</v>
      </c>
      <c r="F57" s="115">
        <v>301</v>
      </c>
      <c r="G57" s="115">
        <v>434</v>
      </c>
      <c r="H57" s="115">
        <v>373</v>
      </c>
      <c r="I57" s="117">
        <v>454</v>
      </c>
      <c r="J57" s="115">
        <v>355</v>
      </c>
      <c r="K57" s="115">
        <v>275</v>
      </c>
      <c r="L57" s="115">
        <v>270</v>
      </c>
      <c r="M57" s="115">
        <v>376</v>
      </c>
      <c r="N57" s="117">
        <v>425</v>
      </c>
      <c r="O57" s="116">
        <v>367</v>
      </c>
    </row>
    <row r="58" spans="2:15" ht="21" x14ac:dyDescent="0.25">
      <c r="B58" s="151" t="s">
        <v>88</v>
      </c>
      <c r="C58" s="114">
        <v>410</v>
      </c>
      <c r="D58" s="115">
        <v>313</v>
      </c>
      <c r="E58" s="115">
        <v>280</v>
      </c>
      <c r="F58" s="115">
        <v>174</v>
      </c>
      <c r="G58" s="115">
        <v>335</v>
      </c>
      <c r="H58" s="115">
        <v>393</v>
      </c>
      <c r="I58" s="92">
        <v>457</v>
      </c>
      <c r="J58" s="92">
        <v>485</v>
      </c>
      <c r="K58" s="115">
        <v>276</v>
      </c>
      <c r="L58" s="92">
        <v>544</v>
      </c>
      <c r="M58" s="115">
        <v>390</v>
      </c>
      <c r="N58" s="115">
        <v>390</v>
      </c>
      <c r="O58" s="116">
        <v>359</v>
      </c>
    </row>
    <row r="59" spans="2:15" ht="21" x14ac:dyDescent="0.25">
      <c r="B59" s="151" t="s">
        <v>89</v>
      </c>
      <c r="C59" s="114">
        <v>410</v>
      </c>
      <c r="D59" s="115">
        <v>331</v>
      </c>
      <c r="E59" s="115">
        <v>308</v>
      </c>
      <c r="F59" s="115">
        <v>306</v>
      </c>
      <c r="G59" s="115">
        <v>368</v>
      </c>
      <c r="H59" s="115">
        <v>354</v>
      </c>
      <c r="I59" s="117">
        <v>447</v>
      </c>
      <c r="J59" s="115">
        <v>220</v>
      </c>
      <c r="K59" s="115">
        <v>141</v>
      </c>
      <c r="L59" s="115">
        <v>165</v>
      </c>
      <c r="M59" s="117">
        <v>422</v>
      </c>
      <c r="N59" s="117">
        <v>431</v>
      </c>
      <c r="O59" s="116">
        <v>326</v>
      </c>
    </row>
    <row r="60" spans="2:15" ht="21" x14ac:dyDescent="0.25">
      <c r="B60" s="151" t="s">
        <v>90</v>
      </c>
      <c r="C60" s="114">
        <v>410</v>
      </c>
      <c r="D60" s="115">
        <v>384</v>
      </c>
      <c r="E60" s="115">
        <v>399</v>
      </c>
      <c r="F60" s="117">
        <v>446</v>
      </c>
      <c r="G60" s="92">
        <v>476</v>
      </c>
      <c r="H60" s="92">
        <v>499</v>
      </c>
      <c r="I60" s="115">
        <v>338</v>
      </c>
      <c r="J60" s="115">
        <v>358</v>
      </c>
      <c r="K60" s="115">
        <v>222</v>
      </c>
      <c r="L60" s="115">
        <v>192</v>
      </c>
      <c r="M60" s="117">
        <v>425</v>
      </c>
      <c r="N60" s="117">
        <v>413</v>
      </c>
      <c r="O60" s="113">
        <v>461</v>
      </c>
    </row>
    <row r="61" spans="2:15" ht="21" x14ac:dyDescent="0.25">
      <c r="B61" s="151" t="s">
        <v>91</v>
      </c>
      <c r="C61" s="114">
        <v>410</v>
      </c>
      <c r="D61" s="117">
        <v>433</v>
      </c>
      <c r="E61" s="115">
        <v>409</v>
      </c>
      <c r="F61" s="117">
        <v>426</v>
      </c>
      <c r="G61" s="92">
        <v>485</v>
      </c>
      <c r="H61" s="92">
        <v>482</v>
      </c>
      <c r="I61" s="92">
        <v>537</v>
      </c>
      <c r="J61" s="92">
        <v>526</v>
      </c>
      <c r="K61" s="115">
        <v>212</v>
      </c>
      <c r="L61" s="115">
        <v>245</v>
      </c>
      <c r="M61" s="92">
        <v>548</v>
      </c>
      <c r="N61" s="92">
        <v>528</v>
      </c>
      <c r="O61" s="113">
        <v>491</v>
      </c>
    </row>
    <row r="62" spans="2:15" ht="21" x14ac:dyDescent="0.25">
      <c r="B62" s="151" t="s">
        <v>92</v>
      </c>
      <c r="C62" s="114">
        <v>410</v>
      </c>
      <c r="D62" s="117">
        <v>445</v>
      </c>
      <c r="E62" s="115">
        <v>410</v>
      </c>
      <c r="F62" s="117">
        <v>443</v>
      </c>
      <c r="G62" s="92">
        <v>460</v>
      </c>
      <c r="H62" s="92">
        <v>482</v>
      </c>
      <c r="I62" s="92">
        <v>462</v>
      </c>
      <c r="J62" s="92">
        <v>480</v>
      </c>
      <c r="K62" s="115">
        <v>201</v>
      </c>
      <c r="L62" s="117">
        <v>433</v>
      </c>
      <c r="M62" s="92">
        <v>538</v>
      </c>
      <c r="N62" s="92">
        <v>493</v>
      </c>
      <c r="O62" s="118"/>
    </row>
    <row r="63" spans="2:15" ht="21" x14ac:dyDescent="0.25">
      <c r="B63" s="152" t="s">
        <v>118</v>
      </c>
      <c r="C63" s="119">
        <v>450</v>
      </c>
      <c r="D63" s="120">
        <v>213</v>
      </c>
      <c r="E63" s="120">
        <v>192</v>
      </c>
      <c r="F63" s="120">
        <v>173</v>
      </c>
      <c r="G63" s="120">
        <v>219</v>
      </c>
      <c r="H63" s="120">
        <v>256</v>
      </c>
      <c r="I63" s="120">
        <v>284</v>
      </c>
      <c r="J63" s="120">
        <v>275</v>
      </c>
      <c r="K63" s="120">
        <v>81</v>
      </c>
      <c r="L63" s="120">
        <v>96</v>
      </c>
      <c r="M63" s="120">
        <v>147</v>
      </c>
      <c r="N63" s="143">
        <v>189</v>
      </c>
      <c r="O63" s="144">
        <v>193</v>
      </c>
    </row>
    <row r="64" spans="2:15" ht="21" x14ac:dyDescent="0.25">
      <c r="B64" s="152" t="s">
        <v>119</v>
      </c>
      <c r="C64" s="119" t="s">
        <v>120</v>
      </c>
      <c r="D64" s="120">
        <v>180</v>
      </c>
      <c r="E64" s="120">
        <v>164</v>
      </c>
      <c r="F64" s="120">
        <v>175</v>
      </c>
      <c r="G64" s="120">
        <v>168</v>
      </c>
      <c r="H64" s="120">
        <v>204</v>
      </c>
      <c r="I64" s="120">
        <v>206</v>
      </c>
      <c r="J64" s="120">
        <v>137</v>
      </c>
      <c r="K64" s="120">
        <v>57</v>
      </c>
      <c r="L64" s="120">
        <v>147</v>
      </c>
      <c r="M64" s="120">
        <v>169</v>
      </c>
      <c r="N64" s="143">
        <v>280</v>
      </c>
      <c r="O64" s="144">
        <v>279</v>
      </c>
    </row>
    <row r="65" spans="2:15" ht="21" x14ac:dyDescent="0.25">
      <c r="B65" s="152" t="s">
        <v>93</v>
      </c>
      <c r="C65" s="119" t="s">
        <v>94</v>
      </c>
      <c r="D65" s="120">
        <v>259</v>
      </c>
      <c r="E65" s="120">
        <v>231</v>
      </c>
      <c r="F65" s="120">
        <v>169</v>
      </c>
      <c r="G65" s="120">
        <v>288</v>
      </c>
      <c r="H65" s="120">
        <v>299</v>
      </c>
      <c r="I65" s="120">
        <v>316</v>
      </c>
      <c r="J65" s="120">
        <v>317</v>
      </c>
      <c r="K65" s="120">
        <v>225</v>
      </c>
      <c r="L65" s="120">
        <v>511</v>
      </c>
      <c r="M65" s="120">
        <v>583</v>
      </c>
      <c r="N65" s="121">
        <v>624</v>
      </c>
      <c r="O65" s="122">
        <v>624</v>
      </c>
    </row>
    <row r="66" spans="2:15" ht="21" x14ac:dyDescent="0.25">
      <c r="B66" s="152" t="s">
        <v>95</v>
      </c>
      <c r="C66" s="123">
        <v>610</v>
      </c>
      <c r="D66" s="124">
        <v>653</v>
      </c>
      <c r="E66" s="98">
        <v>703</v>
      </c>
      <c r="F66" s="98">
        <v>696</v>
      </c>
      <c r="G66" s="124">
        <v>656</v>
      </c>
      <c r="H66" s="124">
        <v>630</v>
      </c>
      <c r="I66" s="120">
        <v>608</v>
      </c>
      <c r="J66" s="120">
        <v>308</v>
      </c>
      <c r="K66" s="120">
        <v>188</v>
      </c>
      <c r="L66" s="120">
        <v>194</v>
      </c>
      <c r="M66" s="120">
        <v>588</v>
      </c>
      <c r="N66" s="121">
        <v>643</v>
      </c>
      <c r="O66" s="122">
        <v>636</v>
      </c>
    </row>
    <row r="67" spans="2:15" ht="21" x14ac:dyDescent="0.25">
      <c r="B67" s="152" t="s">
        <v>96</v>
      </c>
      <c r="C67" s="123">
        <v>610</v>
      </c>
      <c r="D67" s="124">
        <v>666</v>
      </c>
      <c r="E67" s="121">
        <v>645</v>
      </c>
      <c r="F67" s="98">
        <v>740</v>
      </c>
      <c r="G67" s="125">
        <v>606</v>
      </c>
      <c r="H67" s="120">
        <v>596</v>
      </c>
      <c r="I67" s="120">
        <v>445</v>
      </c>
      <c r="J67" s="120">
        <v>459</v>
      </c>
      <c r="K67" s="120">
        <v>256</v>
      </c>
      <c r="L67" s="120">
        <v>276</v>
      </c>
      <c r="M67" s="121">
        <v>616</v>
      </c>
      <c r="N67" s="120">
        <v>553</v>
      </c>
      <c r="O67" s="126">
        <v>615</v>
      </c>
    </row>
    <row r="68" spans="2:15" ht="21" x14ac:dyDescent="0.25">
      <c r="B68" s="152" t="s">
        <v>97</v>
      </c>
      <c r="C68" s="123">
        <v>610</v>
      </c>
      <c r="D68" s="124">
        <v>637</v>
      </c>
      <c r="E68" s="125">
        <v>586</v>
      </c>
      <c r="F68" s="98">
        <v>713</v>
      </c>
      <c r="G68" s="124">
        <v>629</v>
      </c>
      <c r="H68" s="120">
        <v>590</v>
      </c>
      <c r="I68" s="124">
        <v>643</v>
      </c>
      <c r="J68" s="124">
        <v>656</v>
      </c>
      <c r="K68" s="120">
        <v>260</v>
      </c>
      <c r="L68" s="120">
        <v>280</v>
      </c>
      <c r="M68" s="121">
        <v>676</v>
      </c>
      <c r="N68" s="121">
        <v>621</v>
      </c>
      <c r="O68" s="126">
        <v>622</v>
      </c>
    </row>
    <row r="69" spans="2:15" ht="21" x14ac:dyDescent="0.25">
      <c r="B69" s="152" t="s">
        <v>98</v>
      </c>
      <c r="C69" s="123">
        <v>610</v>
      </c>
      <c r="D69" s="98">
        <v>746</v>
      </c>
      <c r="E69" s="120">
        <v>600</v>
      </c>
      <c r="F69" s="124">
        <v>658</v>
      </c>
      <c r="G69" s="124">
        <v>650</v>
      </c>
      <c r="H69" s="124">
        <v>669</v>
      </c>
      <c r="I69" s="120">
        <v>604</v>
      </c>
      <c r="J69" s="120">
        <v>605</v>
      </c>
      <c r="K69" s="120">
        <v>239</v>
      </c>
      <c r="L69" s="120">
        <v>424</v>
      </c>
      <c r="M69" s="98">
        <v>693</v>
      </c>
      <c r="N69" s="121">
        <v>617</v>
      </c>
      <c r="O69" s="126"/>
    </row>
    <row r="70" spans="2:15" ht="21" x14ac:dyDescent="0.25">
      <c r="B70" s="153" t="s">
        <v>121</v>
      </c>
      <c r="C70" s="127">
        <v>330</v>
      </c>
      <c r="D70" s="128">
        <v>192</v>
      </c>
      <c r="E70" s="128">
        <v>142</v>
      </c>
      <c r="F70" s="128">
        <v>176</v>
      </c>
      <c r="G70" s="128">
        <v>208</v>
      </c>
      <c r="H70" s="128">
        <v>230</v>
      </c>
      <c r="I70" s="130">
        <v>344</v>
      </c>
      <c r="J70" s="130">
        <v>361</v>
      </c>
      <c r="K70" s="128">
        <v>324</v>
      </c>
      <c r="L70" s="128">
        <v>319</v>
      </c>
      <c r="M70" s="128">
        <v>276</v>
      </c>
      <c r="N70" s="128">
        <v>217</v>
      </c>
      <c r="O70" s="129">
        <v>267</v>
      </c>
    </row>
    <row r="71" spans="2:15" ht="21" x14ac:dyDescent="0.25">
      <c r="B71" s="153" t="s">
        <v>122</v>
      </c>
      <c r="C71" s="127">
        <v>330</v>
      </c>
      <c r="D71" s="128">
        <v>200</v>
      </c>
      <c r="E71" s="128">
        <v>158</v>
      </c>
      <c r="F71" s="128">
        <v>259</v>
      </c>
      <c r="G71" s="128">
        <v>194</v>
      </c>
      <c r="H71" s="128">
        <v>232</v>
      </c>
      <c r="I71" s="128">
        <v>271</v>
      </c>
      <c r="J71" s="128">
        <v>304</v>
      </c>
      <c r="K71" s="92">
        <v>379</v>
      </c>
      <c r="L71" s="130">
        <v>358</v>
      </c>
      <c r="M71" s="130">
        <v>341</v>
      </c>
      <c r="N71" s="128">
        <v>327</v>
      </c>
      <c r="O71" s="129">
        <v>251</v>
      </c>
    </row>
    <row r="72" spans="2:15" ht="21" x14ac:dyDescent="0.25">
      <c r="B72" s="153" t="s">
        <v>99</v>
      </c>
      <c r="C72" s="127" t="s">
        <v>100</v>
      </c>
      <c r="D72" s="128">
        <v>156</v>
      </c>
      <c r="E72" s="128">
        <v>143</v>
      </c>
      <c r="F72" s="128">
        <v>141</v>
      </c>
      <c r="G72" s="128">
        <v>267</v>
      </c>
      <c r="H72" s="128">
        <v>240</v>
      </c>
      <c r="I72" s="92">
        <v>401</v>
      </c>
      <c r="J72" s="92">
        <v>405</v>
      </c>
      <c r="K72" s="92">
        <v>407</v>
      </c>
      <c r="L72" s="92">
        <v>337</v>
      </c>
      <c r="M72" s="92">
        <v>393</v>
      </c>
      <c r="N72" s="128">
        <v>298</v>
      </c>
      <c r="O72" s="129">
        <v>320</v>
      </c>
    </row>
    <row r="73" spans="2:15" ht="21" x14ac:dyDescent="0.25">
      <c r="B73" s="153" t="s">
        <v>101</v>
      </c>
      <c r="C73" s="127">
        <v>290</v>
      </c>
      <c r="D73" s="128">
        <v>229</v>
      </c>
      <c r="E73" s="128">
        <v>156</v>
      </c>
      <c r="F73" s="128">
        <v>232</v>
      </c>
      <c r="G73" s="128">
        <v>245</v>
      </c>
      <c r="H73" s="128">
        <v>289</v>
      </c>
      <c r="I73" s="130">
        <v>302</v>
      </c>
      <c r="J73" s="130">
        <v>300</v>
      </c>
      <c r="K73" s="131">
        <v>265</v>
      </c>
      <c r="L73" s="131">
        <v>274</v>
      </c>
      <c r="M73" s="92">
        <v>431</v>
      </c>
      <c r="N73" s="92">
        <v>408</v>
      </c>
      <c r="O73" s="113">
        <v>320</v>
      </c>
    </row>
    <row r="74" spans="2:15" ht="21" x14ac:dyDescent="0.25">
      <c r="B74" s="154" t="s">
        <v>102</v>
      </c>
      <c r="C74" s="132">
        <v>290</v>
      </c>
      <c r="D74" s="133">
        <v>184</v>
      </c>
      <c r="E74" s="133">
        <v>224</v>
      </c>
      <c r="F74" s="133">
        <v>231</v>
      </c>
      <c r="G74" s="134">
        <v>228</v>
      </c>
      <c r="H74" s="135">
        <v>366</v>
      </c>
      <c r="I74" s="134">
        <v>284</v>
      </c>
      <c r="J74" s="135">
        <v>344</v>
      </c>
      <c r="K74" s="135">
        <v>444</v>
      </c>
      <c r="L74" s="135">
        <v>437</v>
      </c>
      <c r="M74" s="136">
        <v>308</v>
      </c>
      <c r="N74" s="136">
        <v>317</v>
      </c>
      <c r="O74" s="137">
        <v>271</v>
      </c>
    </row>
    <row r="75" spans="2:15" ht="21" x14ac:dyDescent="0.25">
      <c r="B75" s="155" t="s">
        <v>103</v>
      </c>
      <c r="C75" s="127">
        <v>290</v>
      </c>
      <c r="D75" s="131">
        <v>197</v>
      </c>
      <c r="E75" s="131">
        <v>182</v>
      </c>
      <c r="F75" s="131">
        <v>168</v>
      </c>
      <c r="G75" s="131">
        <v>216</v>
      </c>
      <c r="H75" s="131">
        <v>263</v>
      </c>
      <c r="I75" s="135">
        <v>348</v>
      </c>
      <c r="J75" s="135">
        <v>364</v>
      </c>
      <c r="K75" s="135">
        <v>370</v>
      </c>
      <c r="L75" s="138">
        <v>303</v>
      </c>
      <c r="M75" s="135">
        <v>350</v>
      </c>
      <c r="N75" s="138">
        <v>310</v>
      </c>
      <c r="O75" s="139">
        <v>284</v>
      </c>
    </row>
    <row r="76" spans="2:15" ht="21.75" thickBot="1" x14ac:dyDescent="0.3">
      <c r="B76" s="156" t="s">
        <v>104</v>
      </c>
      <c r="C76" s="140">
        <v>290</v>
      </c>
      <c r="D76" s="141">
        <v>192</v>
      </c>
      <c r="E76" s="141">
        <v>156</v>
      </c>
      <c r="F76" s="141">
        <v>172</v>
      </c>
      <c r="G76" s="141">
        <v>253</v>
      </c>
      <c r="H76" s="135">
        <v>323</v>
      </c>
      <c r="I76" s="141">
        <v>288</v>
      </c>
      <c r="J76" s="135">
        <v>344</v>
      </c>
      <c r="K76" s="135">
        <v>371</v>
      </c>
      <c r="L76" s="204">
        <v>299</v>
      </c>
      <c r="M76" s="135">
        <v>367</v>
      </c>
      <c r="N76" s="204">
        <v>302</v>
      </c>
      <c r="O76" s="142"/>
    </row>
    <row r="77" spans="2:15" ht="17.25" thickBot="1" x14ac:dyDescent="0.3"/>
    <row r="78" spans="2:15" ht="33" thickBot="1" x14ac:dyDescent="0.3">
      <c r="B78" s="224" t="s">
        <v>130</v>
      </c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6"/>
    </row>
  </sheetData>
  <mergeCells count="2">
    <mergeCell ref="B26:O26"/>
    <mergeCell ref="B78:O78"/>
  </mergeCells>
  <phoneticPr fontId="3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R31"/>
  <sheetViews>
    <sheetView zoomScale="55" zoomScaleNormal="55" workbookViewId="0">
      <selection activeCell="B26" sqref="B26:O26"/>
    </sheetView>
  </sheetViews>
  <sheetFormatPr defaultRowHeight="16.5" x14ac:dyDescent="0.25"/>
  <cols>
    <col min="2" max="2" width="38.125" bestFit="1" customWidth="1"/>
    <col min="3" max="3" width="20.875" bestFit="1" customWidth="1"/>
    <col min="4" max="4" width="17.375" bestFit="1" customWidth="1"/>
    <col min="5" max="5" width="12.375" customWidth="1"/>
    <col min="6" max="6" width="12.125" customWidth="1"/>
    <col min="8" max="8" width="8.625" bestFit="1" customWidth="1"/>
    <col min="9" max="10" width="10" bestFit="1" customWidth="1"/>
    <col min="13" max="13" width="12.375" customWidth="1"/>
    <col min="14" max="14" width="10" bestFit="1" customWidth="1"/>
    <col min="15" max="15" width="8.625" bestFit="1" customWidth="1"/>
    <col min="16" max="16" width="16" style="195" customWidth="1"/>
    <col min="17" max="17" width="23.375" customWidth="1"/>
    <col min="18" max="18" width="13.625" customWidth="1"/>
    <col min="19" max="19" width="13.125" bestFit="1" customWidth="1"/>
    <col min="20" max="20" width="15.875" customWidth="1"/>
    <col min="21" max="21" width="13.125" bestFit="1" customWidth="1"/>
    <col min="22" max="22" width="13.875" customWidth="1"/>
    <col min="23" max="23" width="13.125" bestFit="1" customWidth="1"/>
    <col min="24" max="24" width="13.125" customWidth="1"/>
    <col min="25" max="25" width="16" bestFit="1" customWidth="1"/>
  </cols>
  <sheetData>
    <row r="3" spans="2:16" ht="25.5" x14ac:dyDescent="0.25">
      <c r="D3" s="227" t="s">
        <v>124</v>
      </c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</row>
    <row r="4" spans="2:16" ht="26.25" thickBot="1" x14ac:dyDescent="0.3">
      <c r="D4" s="157">
        <v>1</v>
      </c>
      <c r="E4" s="157">
        <v>2</v>
      </c>
      <c r="F4" s="157">
        <v>3</v>
      </c>
      <c r="G4" s="157">
        <v>4</v>
      </c>
      <c r="H4" s="157">
        <v>5</v>
      </c>
      <c r="I4" s="157">
        <v>6</v>
      </c>
      <c r="J4" s="157">
        <v>7</v>
      </c>
      <c r="K4" s="157">
        <v>8</v>
      </c>
      <c r="L4" s="157">
        <v>9</v>
      </c>
      <c r="M4" s="157">
        <v>10</v>
      </c>
      <c r="N4" s="157">
        <v>11</v>
      </c>
      <c r="O4" s="181">
        <v>12</v>
      </c>
      <c r="P4" s="196" t="s">
        <v>127</v>
      </c>
    </row>
    <row r="5" spans="2:16" ht="21" x14ac:dyDescent="0.25">
      <c r="B5" s="158" t="s">
        <v>64</v>
      </c>
      <c r="C5" s="159" t="s">
        <v>65</v>
      </c>
      <c r="D5" s="160">
        <v>0</v>
      </c>
      <c r="E5" s="160">
        <v>0</v>
      </c>
      <c r="F5" s="160">
        <v>0</v>
      </c>
      <c r="G5" s="160">
        <v>0</v>
      </c>
      <c r="H5" s="160">
        <v>0</v>
      </c>
      <c r="I5" s="160">
        <v>0</v>
      </c>
      <c r="J5" s="160">
        <v>0</v>
      </c>
      <c r="K5" s="160">
        <v>0</v>
      </c>
      <c r="L5" s="160">
        <v>0</v>
      </c>
      <c r="M5" s="160">
        <v>0</v>
      </c>
      <c r="N5" s="161">
        <v>0</v>
      </c>
      <c r="O5" s="182">
        <v>0</v>
      </c>
      <c r="P5" s="197">
        <f t="shared" ref="P5:P25" si="0">SUM(D5:O5)</f>
        <v>0</v>
      </c>
    </row>
    <row r="6" spans="2:16" ht="21" x14ac:dyDescent="0.25">
      <c r="B6" s="147" t="s">
        <v>67</v>
      </c>
      <c r="C6" s="96">
        <v>2250</v>
      </c>
      <c r="D6" s="94">
        <v>0</v>
      </c>
      <c r="E6" s="94">
        <v>0</v>
      </c>
      <c r="F6" s="94">
        <v>0</v>
      </c>
      <c r="G6" s="94">
        <v>0</v>
      </c>
      <c r="H6" s="94">
        <v>0</v>
      </c>
      <c r="I6" s="168">
        <v>138284.6</v>
      </c>
      <c r="J6" s="98">
        <v>100888</v>
      </c>
      <c r="K6" s="94">
        <v>0</v>
      </c>
      <c r="L6" s="94">
        <v>0</v>
      </c>
      <c r="M6" s="163">
        <v>140139.20000000001</v>
      </c>
      <c r="N6" s="174">
        <v>64215.8</v>
      </c>
      <c r="O6" s="183">
        <v>0</v>
      </c>
      <c r="P6" s="198">
        <f t="shared" si="0"/>
        <v>443527.60000000003</v>
      </c>
    </row>
    <row r="7" spans="2:16" ht="21" x14ac:dyDescent="0.25">
      <c r="B7" s="147" t="s">
        <v>68</v>
      </c>
      <c r="C7" s="96">
        <v>2250</v>
      </c>
      <c r="D7" s="94">
        <v>0</v>
      </c>
      <c r="E7" s="94">
        <v>0</v>
      </c>
      <c r="F7" s="94">
        <v>0</v>
      </c>
      <c r="G7" s="94">
        <v>0</v>
      </c>
      <c r="H7" s="168">
        <v>39388.400000000001</v>
      </c>
      <c r="I7" s="168">
        <v>44729.2</v>
      </c>
      <c r="J7" s="168">
        <v>45409.599999999999</v>
      </c>
      <c r="K7" s="94">
        <v>0</v>
      </c>
      <c r="L7" s="94">
        <v>0</v>
      </c>
      <c r="M7" s="163">
        <v>299578.8</v>
      </c>
      <c r="N7" s="163">
        <v>203440</v>
      </c>
      <c r="O7" s="183"/>
      <c r="P7" s="197">
        <f t="shared" si="0"/>
        <v>632546</v>
      </c>
    </row>
    <row r="8" spans="2:16" ht="21" x14ac:dyDescent="0.25">
      <c r="B8" s="148" t="s">
        <v>71</v>
      </c>
      <c r="C8" s="99" t="s">
        <v>72</v>
      </c>
      <c r="D8" s="100">
        <v>0</v>
      </c>
      <c r="E8" s="100">
        <v>0</v>
      </c>
      <c r="F8" s="100">
        <v>0</v>
      </c>
      <c r="G8" s="100">
        <v>0</v>
      </c>
      <c r="H8" s="102">
        <v>28039</v>
      </c>
      <c r="I8" s="100">
        <v>0</v>
      </c>
      <c r="J8" s="102">
        <v>1789</v>
      </c>
      <c r="K8" s="102">
        <v>16994</v>
      </c>
      <c r="L8" s="100">
        <v>0</v>
      </c>
      <c r="M8" s="98">
        <v>74682</v>
      </c>
      <c r="N8" s="163">
        <v>68929.7</v>
      </c>
      <c r="O8" s="184">
        <v>0</v>
      </c>
      <c r="P8" s="197">
        <f t="shared" si="0"/>
        <v>190433.7</v>
      </c>
    </row>
    <row r="9" spans="2:16" ht="21" x14ac:dyDescent="0.25">
      <c r="B9" s="148" t="s">
        <v>74</v>
      </c>
      <c r="C9" s="99">
        <v>1000</v>
      </c>
      <c r="D9" s="100">
        <v>0</v>
      </c>
      <c r="E9" s="100">
        <v>0</v>
      </c>
      <c r="F9" s="100">
        <v>0</v>
      </c>
      <c r="G9" s="100">
        <v>0</v>
      </c>
      <c r="H9" s="100">
        <v>0</v>
      </c>
      <c r="I9" s="163">
        <v>140415.4</v>
      </c>
      <c r="J9" s="163">
        <v>125164.8</v>
      </c>
      <c r="K9" s="171">
        <v>30358.400000000001</v>
      </c>
      <c r="L9" s="171">
        <v>2002.8</v>
      </c>
      <c r="M9" s="163">
        <v>177359.2</v>
      </c>
      <c r="N9" s="163">
        <v>111808.3</v>
      </c>
      <c r="O9" s="185">
        <v>12684.4</v>
      </c>
      <c r="P9" s="198">
        <f t="shared" si="0"/>
        <v>599793.30000000005</v>
      </c>
    </row>
    <row r="10" spans="2:16" ht="21" x14ac:dyDescent="0.25">
      <c r="B10" s="148" t="s">
        <v>75</v>
      </c>
      <c r="C10" s="99">
        <v>1000</v>
      </c>
      <c r="D10" s="100">
        <v>0</v>
      </c>
      <c r="E10" s="100">
        <v>0</v>
      </c>
      <c r="F10" s="100">
        <v>0</v>
      </c>
      <c r="G10" s="171">
        <v>5472.4</v>
      </c>
      <c r="H10" s="163">
        <v>44528.6</v>
      </c>
      <c r="I10" s="163">
        <v>43710.400000000001</v>
      </c>
      <c r="J10" s="163">
        <v>77470.8</v>
      </c>
      <c r="K10" s="163">
        <v>60224.800000000003</v>
      </c>
      <c r="L10" s="171">
        <v>10681.6</v>
      </c>
      <c r="M10" s="163">
        <v>146540.79999999999</v>
      </c>
      <c r="N10" s="163">
        <v>118513.60000000001</v>
      </c>
      <c r="O10" s="186"/>
      <c r="P10" s="197">
        <f t="shared" si="0"/>
        <v>507143</v>
      </c>
    </row>
    <row r="11" spans="2:16" ht="21" x14ac:dyDescent="0.25">
      <c r="B11" s="149" t="s">
        <v>79</v>
      </c>
      <c r="C11" s="104">
        <v>1300</v>
      </c>
      <c r="D11" s="105">
        <v>0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6">
        <v>26385</v>
      </c>
      <c r="L11" s="106">
        <v>25490</v>
      </c>
      <c r="M11" s="106">
        <v>17888</v>
      </c>
      <c r="N11" s="105">
        <v>0</v>
      </c>
      <c r="O11" s="187">
        <v>0</v>
      </c>
      <c r="P11" s="199">
        <f t="shared" si="0"/>
        <v>69763</v>
      </c>
    </row>
    <row r="12" spans="2:16" ht="21" x14ac:dyDescent="0.25">
      <c r="B12" s="149" t="s">
        <v>80</v>
      </c>
      <c r="C12" s="104">
        <v>1300</v>
      </c>
      <c r="D12" s="105">
        <v>0</v>
      </c>
      <c r="E12" s="105">
        <v>0</v>
      </c>
      <c r="F12" s="105">
        <v>0</v>
      </c>
      <c r="G12" s="105">
        <v>0</v>
      </c>
      <c r="H12" s="105">
        <v>0</v>
      </c>
      <c r="I12" s="105">
        <v>0</v>
      </c>
      <c r="J12" s="169">
        <v>14687.2</v>
      </c>
      <c r="K12" s="169">
        <v>50223.6</v>
      </c>
      <c r="L12" s="109">
        <v>0</v>
      </c>
      <c r="M12" s="169">
        <v>2336.6</v>
      </c>
      <c r="N12" s="105">
        <v>0</v>
      </c>
      <c r="O12" s="187">
        <v>0</v>
      </c>
      <c r="P12" s="197">
        <f t="shared" si="0"/>
        <v>67247.400000000009</v>
      </c>
    </row>
    <row r="13" spans="2:16" ht="21" x14ac:dyDescent="0.25">
      <c r="B13" s="149" t="s">
        <v>81</v>
      </c>
      <c r="C13" s="104">
        <v>1300</v>
      </c>
      <c r="D13" s="105">
        <v>0</v>
      </c>
      <c r="E13" s="105">
        <v>0</v>
      </c>
      <c r="F13" s="105">
        <v>0</v>
      </c>
      <c r="G13" s="105">
        <v>0</v>
      </c>
      <c r="H13" s="105">
        <v>0</v>
      </c>
      <c r="I13" s="105">
        <v>0</v>
      </c>
      <c r="J13" s="105">
        <v>0</v>
      </c>
      <c r="K13" s="163">
        <v>56283.199999999997</v>
      </c>
      <c r="L13" s="169">
        <v>40768.400000000001</v>
      </c>
      <c r="M13" s="163">
        <v>74327.600000000006</v>
      </c>
      <c r="N13" s="169">
        <v>16356.2</v>
      </c>
      <c r="O13" s="187"/>
      <c r="P13" s="197">
        <f t="shared" si="0"/>
        <v>187735.40000000002</v>
      </c>
    </row>
    <row r="14" spans="2:16" ht="21" x14ac:dyDescent="0.25">
      <c r="B14" s="150" t="s">
        <v>85</v>
      </c>
      <c r="C14" s="110">
        <v>50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92">
        <v>3071</v>
      </c>
      <c r="N14" s="111">
        <v>0</v>
      </c>
      <c r="O14" s="188">
        <v>0</v>
      </c>
      <c r="P14" s="197">
        <f t="shared" si="0"/>
        <v>3071</v>
      </c>
    </row>
    <row r="15" spans="2:16" ht="21" x14ac:dyDescent="0.25">
      <c r="B15" s="150" t="s">
        <v>86</v>
      </c>
      <c r="C15" s="110">
        <v>50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67">
        <v>3070.6</v>
      </c>
      <c r="L15" s="111">
        <v>0</v>
      </c>
      <c r="M15" s="111">
        <v>0</v>
      </c>
      <c r="N15" s="111">
        <v>0</v>
      </c>
      <c r="O15" s="188">
        <v>0</v>
      </c>
      <c r="P15" s="197">
        <f t="shared" si="0"/>
        <v>3070.6</v>
      </c>
    </row>
    <row r="16" spans="2:16" ht="21" x14ac:dyDescent="0.25">
      <c r="B16" s="150" t="s">
        <v>87</v>
      </c>
      <c r="C16" s="110">
        <v>50</v>
      </c>
      <c r="D16" s="111">
        <v>0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67">
        <v>3070.6</v>
      </c>
      <c r="L16" s="167">
        <v>3070.6</v>
      </c>
      <c r="M16" s="167">
        <v>3070.6</v>
      </c>
      <c r="N16" s="111">
        <v>0</v>
      </c>
      <c r="O16" s="188"/>
      <c r="P16" s="197">
        <f t="shared" si="0"/>
        <v>9211.7999999999993</v>
      </c>
    </row>
    <row r="17" spans="2:18" ht="21" x14ac:dyDescent="0.25">
      <c r="B17" s="151" t="s">
        <v>90</v>
      </c>
      <c r="C17" s="114">
        <v>410</v>
      </c>
      <c r="D17" s="115">
        <v>0</v>
      </c>
      <c r="E17" s="115">
        <v>0</v>
      </c>
      <c r="F17" s="117">
        <v>12017</v>
      </c>
      <c r="G17" s="92">
        <v>26203</v>
      </c>
      <c r="H17" s="92">
        <v>36417</v>
      </c>
      <c r="I17" s="115">
        <v>0</v>
      </c>
      <c r="J17" s="115">
        <v>0</v>
      </c>
      <c r="K17" s="115">
        <v>0</v>
      </c>
      <c r="L17" s="115">
        <v>0</v>
      </c>
      <c r="M17" s="117">
        <v>5007</v>
      </c>
      <c r="N17" s="164">
        <v>1667.4</v>
      </c>
      <c r="O17" s="189">
        <v>18692.8</v>
      </c>
      <c r="P17" s="197">
        <f t="shared" si="0"/>
        <v>100004.2</v>
      </c>
    </row>
    <row r="18" spans="2:18" ht="21" x14ac:dyDescent="0.25">
      <c r="B18" s="151" t="s">
        <v>91</v>
      </c>
      <c r="C18" s="114">
        <v>410</v>
      </c>
      <c r="D18" s="164">
        <v>6875.8</v>
      </c>
      <c r="E18" s="115">
        <v>0</v>
      </c>
      <c r="F18" s="164">
        <v>5340.8</v>
      </c>
      <c r="G18" s="167">
        <v>30709.599999999999</v>
      </c>
      <c r="H18" s="167">
        <v>29207.5</v>
      </c>
      <c r="I18" s="167">
        <v>55034.400000000001</v>
      </c>
      <c r="J18" s="167">
        <v>63253.2</v>
      </c>
      <c r="K18" s="115">
        <v>0</v>
      </c>
      <c r="L18" s="115">
        <v>0</v>
      </c>
      <c r="M18" s="167">
        <v>83402.8</v>
      </c>
      <c r="N18" s="167">
        <v>61113.2</v>
      </c>
      <c r="O18" s="189">
        <v>33713.800000000003</v>
      </c>
      <c r="P18" s="198">
        <f t="shared" si="0"/>
        <v>368651.1</v>
      </c>
    </row>
    <row r="19" spans="2:18" ht="21" x14ac:dyDescent="0.25">
      <c r="B19" s="151" t="s">
        <v>92</v>
      </c>
      <c r="C19" s="114">
        <v>410</v>
      </c>
      <c r="D19" s="117">
        <v>11683</v>
      </c>
      <c r="E19" s="115">
        <v>0</v>
      </c>
      <c r="F19" s="164">
        <v>11015.4</v>
      </c>
      <c r="G19" s="167">
        <v>18192.099999999999</v>
      </c>
      <c r="H19" s="167">
        <v>29207.5</v>
      </c>
      <c r="I19" s="167">
        <v>19398.8</v>
      </c>
      <c r="J19" s="167">
        <v>34081.4</v>
      </c>
      <c r="K19" s="115">
        <v>0</v>
      </c>
      <c r="L19" s="117">
        <v>2056.1999999999998</v>
      </c>
      <c r="M19" s="167">
        <v>63551.8</v>
      </c>
      <c r="N19" s="167">
        <v>31298.9</v>
      </c>
      <c r="O19" s="190"/>
      <c r="P19" s="197">
        <f t="shared" si="0"/>
        <v>220485.1</v>
      </c>
    </row>
    <row r="20" spans="2:18" ht="21" x14ac:dyDescent="0.25">
      <c r="B20" s="152" t="s">
        <v>96</v>
      </c>
      <c r="C20" s="123">
        <v>610</v>
      </c>
      <c r="D20" s="121">
        <v>19625</v>
      </c>
      <c r="E20" s="121">
        <v>11683</v>
      </c>
      <c r="F20" s="98">
        <v>49701</v>
      </c>
      <c r="G20" s="125">
        <v>0</v>
      </c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v>2003</v>
      </c>
      <c r="N20" s="120">
        <v>0</v>
      </c>
      <c r="O20" s="191">
        <v>1669</v>
      </c>
      <c r="P20" s="197">
        <f t="shared" si="0"/>
        <v>84681</v>
      </c>
    </row>
    <row r="21" spans="2:18" ht="21" x14ac:dyDescent="0.25">
      <c r="B21" s="152" t="s">
        <v>97</v>
      </c>
      <c r="C21" s="123">
        <v>610</v>
      </c>
      <c r="D21" s="166">
        <v>1798.2</v>
      </c>
      <c r="E21" s="125">
        <v>0</v>
      </c>
      <c r="F21" s="163">
        <v>41391.199999999997</v>
      </c>
      <c r="G21" s="166">
        <v>6342.2</v>
      </c>
      <c r="H21" s="120">
        <v>0</v>
      </c>
      <c r="I21" s="166">
        <v>11015.4</v>
      </c>
      <c r="J21" s="124">
        <v>17963</v>
      </c>
      <c r="K21" s="120">
        <v>0</v>
      </c>
      <c r="L21" s="120">
        <v>0</v>
      </c>
      <c r="M21" s="173">
        <v>23958.6</v>
      </c>
      <c r="N21" s="173">
        <v>4629.3</v>
      </c>
      <c r="O21" s="192">
        <v>4005.6</v>
      </c>
      <c r="P21" s="198">
        <f t="shared" si="0"/>
        <v>111103.50000000001</v>
      </c>
    </row>
    <row r="22" spans="2:18" ht="21" x14ac:dyDescent="0.25">
      <c r="B22" s="152" t="s">
        <v>98</v>
      </c>
      <c r="C22" s="123">
        <v>610</v>
      </c>
      <c r="D22" s="163">
        <v>57914.3</v>
      </c>
      <c r="E22" s="120">
        <v>0</v>
      </c>
      <c r="F22" s="166">
        <v>16022.4</v>
      </c>
      <c r="G22" s="124">
        <v>13352</v>
      </c>
      <c r="H22" s="166">
        <v>19694.2</v>
      </c>
      <c r="I22" s="120">
        <v>0</v>
      </c>
      <c r="J22" s="120">
        <v>0</v>
      </c>
      <c r="K22" s="120">
        <v>0</v>
      </c>
      <c r="L22" s="120">
        <v>0</v>
      </c>
      <c r="M22" s="163">
        <v>29046.6</v>
      </c>
      <c r="N22" s="121">
        <v>2336.6</v>
      </c>
      <c r="O22" s="191"/>
      <c r="P22" s="197">
        <f t="shared" si="0"/>
        <v>138366.1</v>
      </c>
      <c r="R22" s="207">
        <f>N7+N10+N13+N19+N22+N25</f>
        <v>372881.3</v>
      </c>
    </row>
    <row r="23" spans="2:18" ht="21" x14ac:dyDescent="0.25">
      <c r="B23" s="154" t="s">
        <v>102</v>
      </c>
      <c r="C23" s="132">
        <v>290</v>
      </c>
      <c r="D23" s="134">
        <v>0</v>
      </c>
      <c r="E23" s="134">
        <v>0</v>
      </c>
      <c r="F23" s="134">
        <v>0</v>
      </c>
      <c r="G23" s="134">
        <v>0</v>
      </c>
      <c r="H23" s="135">
        <v>33213</v>
      </c>
      <c r="I23" s="134">
        <v>0</v>
      </c>
      <c r="J23" s="135">
        <v>29739</v>
      </c>
      <c r="K23" s="135">
        <v>96819</v>
      </c>
      <c r="L23" s="135">
        <v>92123</v>
      </c>
      <c r="M23" s="136">
        <v>8050</v>
      </c>
      <c r="N23" s="165">
        <v>1798.2</v>
      </c>
      <c r="O23" s="193">
        <v>0</v>
      </c>
      <c r="P23" s="199">
        <f t="shared" si="0"/>
        <v>261742.2</v>
      </c>
    </row>
    <row r="24" spans="2:18" ht="21" x14ac:dyDescent="0.25">
      <c r="B24" s="155" t="s">
        <v>103</v>
      </c>
      <c r="C24" s="127">
        <v>290</v>
      </c>
      <c r="D24" s="134">
        <v>0</v>
      </c>
      <c r="E24" s="134">
        <v>0</v>
      </c>
      <c r="F24" s="134">
        <v>0</v>
      </c>
      <c r="G24" s="134">
        <v>0</v>
      </c>
      <c r="H24" s="134">
        <v>0</v>
      </c>
      <c r="I24" s="135">
        <v>16633</v>
      </c>
      <c r="J24" s="170">
        <v>43154.8</v>
      </c>
      <c r="K24" s="170">
        <v>47179.6</v>
      </c>
      <c r="L24" s="172">
        <v>1162.2</v>
      </c>
      <c r="M24" s="170">
        <v>11759.3</v>
      </c>
      <c r="N24" s="138">
        <v>1560</v>
      </c>
      <c r="O24" s="193">
        <v>0</v>
      </c>
      <c r="P24" s="197">
        <f t="shared" si="0"/>
        <v>121448.9</v>
      </c>
    </row>
    <row r="25" spans="2:18" ht="21.75" thickBot="1" x14ac:dyDescent="0.3">
      <c r="B25" s="156" t="s">
        <v>104</v>
      </c>
      <c r="C25" s="140">
        <v>290</v>
      </c>
      <c r="D25" s="162">
        <v>0</v>
      </c>
      <c r="E25" s="162">
        <v>0</v>
      </c>
      <c r="F25" s="162">
        <v>0</v>
      </c>
      <c r="G25" s="162">
        <v>0</v>
      </c>
      <c r="H25" s="175">
        <v>2197.8000000000002</v>
      </c>
      <c r="I25" s="162">
        <v>0</v>
      </c>
      <c r="J25" s="175">
        <v>20436.400000000001</v>
      </c>
      <c r="K25" s="175">
        <v>47850.400000000001</v>
      </c>
      <c r="L25" s="204">
        <v>804.6</v>
      </c>
      <c r="M25" s="175">
        <v>45167.199999999997</v>
      </c>
      <c r="N25" s="204">
        <v>936</v>
      </c>
      <c r="O25" s="194"/>
      <c r="P25" s="197">
        <f t="shared" si="0"/>
        <v>117392.40000000001</v>
      </c>
    </row>
    <row r="26" spans="2:18" ht="33" thickBot="1" x14ac:dyDescent="0.3">
      <c r="B26" s="224" t="s">
        <v>130</v>
      </c>
      <c r="C26" s="225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6"/>
    </row>
    <row r="27" spans="2:18" ht="17.25" thickBot="1" x14ac:dyDescent="0.3"/>
    <row r="28" spans="2:18" ht="21" x14ac:dyDescent="0.25">
      <c r="C28" s="228" t="s">
        <v>128</v>
      </c>
      <c r="D28" s="229"/>
      <c r="E28" s="176"/>
    </row>
    <row r="29" spans="2:18" ht="21" x14ac:dyDescent="0.25">
      <c r="C29" s="177" t="s">
        <v>125</v>
      </c>
      <c r="D29" s="178">
        <f>P5+P8+P11+P14+P17+P20+P23</f>
        <v>709695.10000000009</v>
      </c>
      <c r="E29" s="176"/>
    </row>
    <row r="30" spans="2:18" ht="21" x14ac:dyDescent="0.25">
      <c r="C30" s="177" t="s">
        <v>126</v>
      </c>
      <c r="D30" s="178">
        <f>P6+P9+P12+P15+P18+P21+P24</f>
        <v>1714842.4</v>
      </c>
      <c r="E30" s="176"/>
    </row>
    <row r="31" spans="2:18" ht="21.75" thickBot="1" x14ac:dyDescent="0.3">
      <c r="C31" s="179" t="s">
        <v>129</v>
      </c>
      <c r="D31" s="180">
        <f>P7+P10+P13+P16+P19+P22+P25</f>
        <v>1812879.8</v>
      </c>
      <c r="E31" s="176"/>
    </row>
  </sheetData>
  <mergeCells count="3">
    <mergeCell ref="D3:O3"/>
    <mergeCell ref="C28:D28"/>
    <mergeCell ref="B26:O26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05A0FE5BBB6D8488DBA938F2CCA5A7E" ma:contentTypeVersion="16" ma:contentTypeDescription="建立新的文件。" ma:contentTypeScope="" ma:versionID="01778c3a9ba9790d723572c7d610589e">
  <xsd:schema xmlns:xsd="http://www.w3.org/2001/XMLSchema" xmlns:xs="http://www.w3.org/2001/XMLSchema" xmlns:p="http://schemas.microsoft.com/office/2006/metadata/properties" xmlns:ns3="aa4639a2-df53-4006-9c74-13f01b076e08" xmlns:ns4="21f3f83e-f42d-4a9b-be52-9f1b1ac46869" targetNamespace="http://schemas.microsoft.com/office/2006/metadata/properties" ma:root="true" ma:fieldsID="920e076e83a1a5bd27733e6917a0e122" ns3:_="" ns4:_="">
    <xsd:import namespace="aa4639a2-df53-4006-9c74-13f01b076e08"/>
    <xsd:import namespace="21f3f83e-f42d-4a9b-be52-9f1b1ac468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639a2-df53-4006-9c74-13f01b076e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3f83e-f42d-4a9b-be52-9f1b1ac46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4639a2-df53-4006-9c74-13f01b076e08" xsi:nil="true"/>
  </documentManagement>
</p:properties>
</file>

<file path=customXml/itemProps1.xml><?xml version="1.0" encoding="utf-8"?>
<ds:datastoreItem xmlns:ds="http://schemas.openxmlformats.org/officeDocument/2006/customXml" ds:itemID="{6294B8E1-B5D4-40AB-BAEE-5C7A57709D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AC681C-AA6E-477A-9B6E-6F133BB7E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4639a2-df53-4006-9c74-13f01b076e08"/>
    <ds:schemaRef ds:uri="21f3f83e-f42d-4a9b-be52-9f1b1ac468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77C804-6DF5-4F97-8AB4-8D5E93FFE2B1}">
  <ds:schemaRefs>
    <ds:schemaRef ds:uri="http://purl.org/dc/dcmitype/"/>
    <ds:schemaRef ds:uri="http://purl.org/dc/terms/"/>
    <ds:schemaRef ds:uri="http://schemas.openxmlformats.org/package/2006/metadata/core-properties"/>
    <ds:schemaRef ds:uri="aa4639a2-df53-4006-9c74-13f01b076e08"/>
    <ds:schemaRef ds:uri="http://schemas.microsoft.com/office/infopath/2007/PartnerControls"/>
    <ds:schemaRef ds:uri="http://schemas.microsoft.com/office/2006/documentManagement/types"/>
    <ds:schemaRef ds:uri="21f3f83e-f42d-4a9b-be52-9f1b1ac46869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107-113各月度數費用合併</vt:lpstr>
      <vt:lpstr>契約容量以及電錶供電區域</vt:lpstr>
      <vt:lpstr>超約費計算</vt:lpstr>
      <vt:lpstr>工作表1</vt:lpstr>
      <vt:lpstr>'107-113各月度數費用合併'!Print_Area</vt:lpstr>
    </vt:vector>
  </TitlesOfParts>
  <Company>FCU-EES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Chun-Wei Huang</cp:lastModifiedBy>
  <cp:lastPrinted>2023-06-28T06:14:44Z</cp:lastPrinted>
  <dcterms:created xsi:type="dcterms:W3CDTF">2006-03-30T07:49:42Z</dcterms:created>
  <dcterms:modified xsi:type="dcterms:W3CDTF">2025-07-17T08:31:30Z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0x010100805A0FE5BBB6D8488DBA938F2CCA5A7E</vt:lpwstr>
  </property>
</Properties>
</file>